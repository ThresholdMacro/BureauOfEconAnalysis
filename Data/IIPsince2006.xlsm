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20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meyrick/Library/Mobile Documents/com~apple~CloudDocs/Meyrick/R/Git/BureauOfEconAnalysis/Data/"/>
    </mc:Choice>
  </mc:AlternateContent>
  <xr:revisionPtr revIDLastSave="0" documentId="13_ncr:9_{50CFECDC-0FB0-AF4B-9236-9E38E079B5AA}" xr6:coauthVersionLast="47" xr6:coauthVersionMax="47" xr10:uidLastSave="{00000000-0000-0000-0000-000000000000}"/>
  <bookViews>
    <workbookView xWindow="6040" yWindow="1540" windowWidth="31500" windowHeight="16960" activeTab="1" xr2:uid="{89B6E714-3300-A542-A2F7-A3AC47D61E2B}"/>
  </bookViews>
  <sheets>
    <sheet name="Table" sheetId="1" r:id="rId1"/>
    <sheet name="Sheet1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Z96" i="2" l="1"/>
  <c r="BY96" i="2"/>
  <c r="BX96" i="2"/>
  <c r="BW96" i="2"/>
  <c r="BV96" i="2"/>
  <c r="BU96" i="2"/>
  <c r="BT96" i="2"/>
  <c r="BS96" i="2"/>
  <c r="BR96" i="2"/>
  <c r="BQ96" i="2"/>
  <c r="BP96" i="2"/>
  <c r="BO96" i="2"/>
  <c r="BN96" i="2"/>
  <c r="BM96" i="2"/>
  <c r="BL96" i="2"/>
  <c r="BK96" i="2"/>
  <c r="BJ96" i="2"/>
  <c r="BI96" i="2"/>
  <c r="BH96" i="2"/>
  <c r="BG96" i="2"/>
  <c r="BF96" i="2"/>
  <c r="BE96" i="2"/>
  <c r="BD96" i="2"/>
  <c r="BC96" i="2"/>
  <c r="BB96" i="2"/>
  <c r="BA96" i="2"/>
  <c r="AZ96" i="2"/>
  <c r="AY96" i="2"/>
  <c r="AX96" i="2"/>
  <c r="AW96" i="2"/>
  <c r="AV96" i="2"/>
  <c r="AU96" i="2"/>
  <c r="AT96" i="2"/>
  <c r="AS96" i="2"/>
  <c r="AR96" i="2"/>
  <c r="AQ96" i="2"/>
  <c r="AP96" i="2"/>
  <c r="AO96" i="2"/>
  <c r="AN96" i="2"/>
  <c r="AM96" i="2"/>
  <c r="AL96" i="2"/>
  <c r="AK96" i="2"/>
  <c r="AJ96" i="2"/>
  <c r="AI96" i="2"/>
  <c r="AH96" i="2"/>
  <c r="AG96" i="2"/>
  <c r="AF96" i="2"/>
  <c r="AE96" i="2"/>
  <c r="AD96" i="2"/>
  <c r="AC96" i="2"/>
  <c r="AB96" i="2"/>
  <c r="AA96" i="2"/>
  <c r="Z96" i="2"/>
  <c r="Y96" i="2"/>
  <c r="X96" i="2"/>
  <c r="W96" i="2"/>
  <c r="V96" i="2"/>
  <c r="U96" i="2"/>
  <c r="T96" i="2"/>
  <c r="S96" i="2"/>
  <c r="R96" i="2"/>
  <c r="Q96" i="2"/>
  <c r="P96" i="2"/>
  <c r="O96" i="2"/>
  <c r="N96" i="2"/>
  <c r="M96" i="2"/>
  <c r="L96" i="2"/>
  <c r="K96" i="2"/>
  <c r="J96" i="2"/>
  <c r="I96" i="2"/>
  <c r="H96" i="2"/>
  <c r="G96" i="2"/>
  <c r="F96" i="2"/>
  <c r="E96" i="2"/>
  <c r="D96" i="2"/>
  <c r="CA96" i="2"/>
  <c r="CA103" i="2"/>
  <c r="BZ103" i="2"/>
  <c r="BY103" i="2"/>
  <c r="BX103" i="2"/>
  <c r="BW103" i="2"/>
  <c r="BV103" i="2"/>
  <c r="BU103" i="2"/>
  <c r="BT103" i="2"/>
  <c r="BS103" i="2"/>
  <c r="BR103" i="2"/>
  <c r="BQ103" i="2"/>
  <c r="BP103" i="2"/>
  <c r="BO103" i="2"/>
  <c r="BN103" i="2"/>
  <c r="BM103" i="2"/>
  <c r="BL103" i="2"/>
  <c r="BK103" i="2"/>
  <c r="BJ103" i="2"/>
  <c r="BI103" i="2"/>
  <c r="BH103" i="2"/>
  <c r="BG103" i="2"/>
  <c r="BF103" i="2"/>
  <c r="BE103" i="2"/>
  <c r="BD103" i="2"/>
  <c r="BC103" i="2"/>
  <c r="BB103" i="2"/>
  <c r="BA103" i="2"/>
  <c r="AZ103" i="2"/>
  <c r="AY103" i="2"/>
  <c r="AX103" i="2"/>
  <c r="AW103" i="2"/>
  <c r="AV103" i="2"/>
  <c r="AU103" i="2"/>
  <c r="AT103" i="2"/>
  <c r="AS103" i="2"/>
  <c r="AR103" i="2"/>
  <c r="AQ103" i="2"/>
  <c r="AP103" i="2"/>
  <c r="AO103" i="2"/>
  <c r="AN103" i="2"/>
  <c r="AM103" i="2"/>
  <c r="AL103" i="2"/>
  <c r="AK103" i="2"/>
  <c r="AJ103" i="2"/>
  <c r="AI103" i="2"/>
  <c r="AH103" i="2"/>
  <c r="AG103" i="2"/>
  <c r="AF103" i="2"/>
  <c r="AE103" i="2"/>
  <c r="AD103" i="2"/>
  <c r="AC103" i="2"/>
  <c r="AB103" i="2"/>
  <c r="AA103" i="2"/>
  <c r="Z103" i="2"/>
  <c r="Y103" i="2"/>
  <c r="X103" i="2"/>
  <c r="W103" i="2"/>
  <c r="V103" i="2"/>
  <c r="U103" i="2"/>
  <c r="T103" i="2"/>
  <c r="S103" i="2"/>
  <c r="R103" i="2"/>
  <c r="Q103" i="2"/>
  <c r="P103" i="2"/>
  <c r="O103" i="2"/>
  <c r="N103" i="2"/>
  <c r="M103" i="2"/>
  <c r="L103" i="2"/>
  <c r="K103" i="2"/>
  <c r="J103" i="2"/>
  <c r="I103" i="2"/>
  <c r="H103" i="2"/>
  <c r="G103" i="2"/>
  <c r="F103" i="2"/>
  <c r="E103" i="2"/>
  <c r="CA102" i="2"/>
  <c r="BZ102" i="2"/>
  <c r="BY102" i="2"/>
  <c r="BX102" i="2"/>
  <c r="BW102" i="2"/>
  <c r="BV102" i="2"/>
  <c r="BU102" i="2"/>
  <c r="BT102" i="2"/>
  <c r="BS102" i="2"/>
  <c r="BR102" i="2"/>
  <c r="BQ102" i="2"/>
  <c r="BP102" i="2"/>
  <c r="BO102" i="2"/>
  <c r="BN102" i="2"/>
  <c r="BM102" i="2"/>
  <c r="BL102" i="2"/>
  <c r="BK102" i="2"/>
  <c r="BJ102" i="2"/>
  <c r="BI102" i="2"/>
  <c r="BH102" i="2"/>
  <c r="BG102" i="2"/>
  <c r="BF102" i="2"/>
  <c r="BE102" i="2"/>
  <c r="BD102" i="2"/>
  <c r="BC102" i="2"/>
  <c r="BB102" i="2"/>
  <c r="BA102" i="2"/>
  <c r="AZ102" i="2"/>
  <c r="AY102" i="2"/>
  <c r="AX102" i="2"/>
  <c r="AW102" i="2"/>
  <c r="AV102" i="2"/>
  <c r="AU102" i="2"/>
  <c r="AT102" i="2"/>
  <c r="AS102" i="2"/>
  <c r="AR102" i="2"/>
  <c r="AQ102" i="2"/>
  <c r="AP102" i="2"/>
  <c r="AO102" i="2"/>
  <c r="AN102" i="2"/>
  <c r="AM102" i="2"/>
  <c r="AL102" i="2"/>
  <c r="AK102" i="2"/>
  <c r="AJ102" i="2"/>
  <c r="AI102" i="2"/>
  <c r="AH102" i="2"/>
  <c r="AG102" i="2"/>
  <c r="AF102" i="2"/>
  <c r="AE102" i="2"/>
  <c r="AD102" i="2"/>
  <c r="AC102" i="2"/>
  <c r="AB102" i="2"/>
  <c r="AA102" i="2"/>
  <c r="Z102" i="2"/>
  <c r="Y102" i="2"/>
  <c r="X102" i="2"/>
  <c r="W102" i="2"/>
  <c r="V102" i="2"/>
  <c r="U102" i="2"/>
  <c r="T102" i="2"/>
  <c r="S102" i="2"/>
  <c r="R102" i="2"/>
  <c r="Q102" i="2"/>
  <c r="P102" i="2"/>
  <c r="O102" i="2"/>
  <c r="N102" i="2"/>
  <c r="M102" i="2"/>
  <c r="L102" i="2"/>
  <c r="K102" i="2"/>
  <c r="J102" i="2"/>
  <c r="I102" i="2"/>
  <c r="H102" i="2"/>
  <c r="G102" i="2"/>
  <c r="F102" i="2"/>
  <c r="E102" i="2"/>
  <c r="CA101" i="2"/>
  <c r="BZ101" i="2"/>
  <c r="BY101" i="2"/>
  <c r="BX101" i="2"/>
  <c r="BW101" i="2"/>
  <c r="BV101" i="2"/>
  <c r="BU101" i="2"/>
  <c r="BT101" i="2"/>
  <c r="BS101" i="2"/>
  <c r="BR101" i="2"/>
  <c r="BQ101" i="2"/>
  <c r="BP101" i="2"/>
  <c r="BO101" i="2"/>
  <c r="BN101" i="2"/>
  <c r="BM101" i="2"/>
  <c r="BL101" i="2"/>
  <c r="BK101" i="2"/>
  <c r="BJ101" i="2"/>
  <c r="BI101" i="2"/>
  <c r="BH101" i="2"/>
  <c r="BG101" i="2"/>
  <c r="BF101" i="2"/>
  <c r="BE101" i="2"/>
  <c r="BD101" i="2"/>
  <c r="BC101" i="2"/>
  <c r="BB101" i="2"/>
  <c r="BA101" i="2"/>
  <c r="AZ101" i="2"/>
  <c r="AY101" i="2"/>
  <c r="AX101" i="2"/>
  <c r="AW101" i="2"/>
  <c r="AV101" i="2"/>
  <c r="AU101" i="2"/>
  <c r="AT101" i="2"/>
  <c r="AS101" i="2"/>
  <c r="AR101" i="2"/>
  <c r="AQ101" i="2"/>
  <c r="AP101" i="2"/>
  <c r="AO101" i="2"/>
  <c r="AN101" i="2"/>
  <c r="AM101" i="2"/>
  <c r="AL101" i="2"/>
  <c r="AK101" i="2"/>
  <c r="AJ101" i="2"/>
  <c r="AI101" i="2"/>
  <c r="AH101" i="2"/>
  <c r="AG101" i="2"/>
  <c r="AF101" i="2"/>
  <c r="AE101" i="2"/>
  <c r="AD101" i="2"/>
  <c r="AC101" i="2"/>
  <c r="AB101" i="2"/>
  <c r="AA101" i="2"/>
  <c r="Z101" i="2"/>
  <c r="Y101" i="2"/>
  <c r="X101" i="2"/>
  <c r="W101" i="2"/>
  <c r="V101" i="2"/>
  <c r="U101" i="2"/>
  <c r="T101" i="2"/>
  <c r="S101" i="2"/>
  <c r="R101" i="2"/>
  <c r="Q101" i="2"/>
  <c r="P101" i="2"/>
  <c r="O101" i="2"/>
  <c r="N101" i="2"/>
  <c r="M101" i="2"/>
  <c r="L101" i="2"/>
  <c r="K101" i="2"/>
  <c r="J101" i="2"/>
  <c r="I101" i="2"/>
  <c r="H101" i="2"/>
  <c r="G101" i="2"/>
  <c r="F101" i="2"/>
  <c r="E101" i="2"/>
  <c r="CA100" i="2"/>
  <c r="BZ100" i="2"/>
  <c r="BY100" i="2"/>
  <c r="BX100" i="2"/>
  <c r="BW100" i="2"/>
  <c r="BV100" i="2"/>
  <c r="BU100" i="2"/>
  <c r="BT100" i="2"/>
  <c r="BS100" i="2"/>
  <c r="BR100" i="2"/>
  <c r="BQ100" i="2"/>
  <c r="BP100" i="2"/>
  <c r="BO100" i="2"/>
  <c r="BN100" i="2"/>
  <c r="BM100" i="2"/>
  <c r="BL100" i="2"/>
  <c r="BK100" i="2"/>
  <c r="BJ100" i="2"/>
  <c r="BI100" i="2"/>
  <c r="BH100" i="2"/>
  <c r="BG100" i="2"/>
  <c r="BF100" i="2"/>
  <c r="BE100" i="2"/>
  <c r="BD100" i="2"/>
  <c r="BC100" i="2"/>
  <c r="BB100" i="2"/>
  <c r="BA100" i="2"/>
  <c r="AZ100" i="2"/>
  <c r="AY100" i="2"/>
  <c r="AX100" i="2"/>
  <c r="AW100" i="2"/>
  <c r="AV100" i="2"/>
  <c r="AU100" i="2"/>
  <c r="AT100" i="2"/>
  <c r="AS100" i="2"/>
  <c r="AR100" i="2"/>
  <c r="AQ100" i="2"/>
  <c r="AP100" i="2"/>
  <c r="AO100" i="2"/>
  <c r="AN100" i="2"/>
  <c r="AM100" i="2"/>
  <c r="AL100" i="2"/>
  <c r="AK100" i="2"/>
  <c r="AJ100" i="2"/>
  <c r="AI100" i="2"/>
  <c r="AH100" i="2"/>
  <c r="AG100" i="2"/>
  <c r="AF100" i="2"/>
  <c r="AE100" i="2"/>
  <c r="AD100" i="2"/>
  <c r="AC100" i="2"/>
  <c r="AB100" i="2"/>
  <c r="AA100" i="2"/>
  <c r="Z100" i="2"/>
  <c r="Y100" i="2"/>
  <c r="X100" i="2"/>
  <c r="W100" i="2"/>
  <c r="V100" i="2"/>
  <c r="U100" i="2"/>
  <c r="T100" i="2"/>
  <c r="S100" i="2"/>
  <c r="R100" i="2"/>
  <c r="Q100" i="2"/>
  <c r="P100" i="2"/>
  <c r="O100" i="2"/>
  <c r="N100" i="2"/>
  <c r="M100" i="2"/>
  <c r="L100" i="2"/>
  <c r="K100" i="2"/>
  <c r="J100" i="2"/>
  <c r="I100" i="2"/>
  <c r="H100" i="2"/>
  <c r="G100" i="2"/>
  <c r="F100" i="2"/>
  <c r="E100" i="2"/>
  <c r="CA99" i="2"/>
  <c r="BZ99" i="2"/>
  <c r="BY99" i="2"/>
  <c r="BX99" i="2"/>
  <c r="BW99" i="2"/>
  <c r="BV99" i="2"/>
  <c r="BU99" i="2"/>
  <c r="BT99" i="2"/>
  <c r="BS99" i="2"/>
  <c r="BR99" i="2"/>
  <c r="BQ99" i="2"/>
  <c r="BP99" i="2"/>
  <c r="BO99" i="2"/>
  <c r="BN99" i="2"/>
  <c r="BM99" i="2"/>
  <c r="BL99" i="2"/>
  <c r="BK99" i="2"/>
  <c r="BJ99" i="2"/>
  <c r="BI99" i="2"/>
  <c r="BH99" i="2"/>
  <c r="BG99" i="2"/>
  <c r="BF99" i="2"/>
  <c r="BE99" i="2"/>
  <c r="BD99" i="2"/>
  <c r="BC99" i="2"/>
  <c r="BB99" i="2"/>
  <c r="BA99" i="2"/>
  <c r="AZ99" i="2"/>
  <c r="AY99" i="2"/>
  <c r="AX99" i="2"/>
  <c r="AW99" i="2"/>
  <c r="AV99" i="2"/>
  <c r="AU99" i="2"/>
  <c r="AT99" i="2"/>
  <c r="AS99" i="2"/>
  <c r="AR99" i="2"/>
  <c r="AQ99" i="2"/>
  <c r="AP99" i="2"/>
  <c r="AO99" i="2"/>
  <c r="AN99" i="2"/>
  <c r="AM99" i="2"/>
  <c r="AL99" i="2"/>
  <c r="AK99" i="2"/>
  <c r="AJ99" i="2"/>
  <c r="AI99" i="2"/>
  <c r="AH99" i="2"/>
  <c r="AG99" i="2"/>
  <c r="AF99" i="2"/>
  <c r="AE99" i="2"/>
  <c r="AD99" i="2"/>
  <c r="AC99" i="2"/>
  <c r="AB99" i="2"/>
  <c r="AA99" i="2"/>
  <c r="Z99" i="2"/>
  <c r="Y99" i="2"/>
  <c r="X99" i="2"/>
  <c r="W99" i="2"/>
  <c r="V99" i="2"/>
  <c r="U99" i="2"/>
  <c r="T99" i="2"/>
  <c r="S99" i="2"/>
  <c r="R99" i="2"/>
  <c r="Q99" i="2"/>
  <c r="P99" i="2"/>
  <c r="O99" i="2"/>
  <c r="N99" i="2"/>
  <c r="M99" i="2"/>
  <c r="L99" i="2"/>
  <c r="K99" i="2"/>
  <c r="J99" i="2"/>
  <c r="I99" i="2"/>
  <c r="H99" i="2"/>
  <c r="G99" i="2"/>
  <c r="F99" i="2"/>
  <c r="E99" i="2"/>
  <c r="CA98" i="2"/>
  <c r="BZ98" i="2"/>
  <c r="BY98" i="2"/>
  <c r="BX98" i="2"/>
  <c r="BW98" i="2"/>
  <c r="BV98" i="2"/>
  <c r="BU98" i="2"/>
  <c r="BT98" i="2"/>
  <c r="BS98" i="2"/>
  <c r="BR98" i="2"/>
  <c r="BQ98" i="2"/>
  <c r="BP98" i="2"/>
  <c r="BO98" i="2"/>
  <c r="BN98" i="2"/>
  <c r="BM98" i="2"/>
  <c r="BL98" i="2"/>
  <c r="BK98" i="2"/>
  <c r="BJ98" i="2"/>
  <c r="BI98" i="2"/>
  <c r="BH98" i="2"/>
  <c r="BG98" i="2"/>
  <c r="BF98" i="2"/>
  <c r="BE98" i="2"/>
  <c r="BD98" i="2"/>
  <c r="BC98" i="2"/>
  <c r="BB98" i="2"/>
  <c r="BA98" i="2"/>
  <c r="AZ98" i="2"/>
  <c r="AY98" i="2"/>
  <c r="AX98" i="2"/>
  <c r="AW98" i="2"/>
  <c r="AV98" i="2"/>
  <c r="AU98" i="2"/>
  <c r="AT98" i="2"/>
  <c r="AS98" i="2"/>
  <c r="AR98" i="2"/>
  <c r="AQ98" i="2"/>
  <c r="AP98" i="2"/>
  <c r="AO98" i="2"/>
  <c r="AN98" i="2"/>
  <c r="AM98" i="2"/>
  <c r="AL98" i="2"/>
  <c r="AK98" i="2"/>
  <c r="AJ98" i="2"/>
  <c r="AI98" i="2"/>
  <c r="AH98" i="2"/>
  <c r="AG98" i="2"/>
  <c r="AF98" i="2"/>
  <c r="AE98" i="2"/>
  <c r="AD98" i="2"/>
  <c r="AC98" i="2"/>
  <c r="AB98" i="2"/>
  <c r="AA98" i="2"/>
  <c r="Z98" i="2"/>
  <c r="Y98" i="2"/>
  <c r="X98" i="2"/>
  <c r="W98" i="2"/>
  <c r="V98" i="2"/>
  <c r="U98" i="2"/>
  <c r="T98" i="2"/>
  <c r="S98" i="2"/>
  <c r="R98" i="2"/>
  <c r="Q98" i="2"/>
  <c r="P98" i="2"/>
  <c r="O98" i="2"/>
  <c r="N98" i="2"/>
  <c r="M98" i="2"/>
  <c r="L98" i="2"/>
  <c r="K98" i="2"/>
  <c r="J98" i="2"/>
  <c r="I98" i="2"/>
  <c r="H98" i="2"/>
  <c r="G98" i="2"/>
  <c r="F98" i="2"/>
  <c r="E98" i="2"/>
  <c r="CA97" i="2"/>
  <c r="BZ97" i="2"/>
  <c r="BY97" i="2"/>
  <c r="BX97" i="2"/>
  <c r="BW97" i="2"/>
  <c r="BV97" i="2"/>
  <c r="BU97" i="2"/>
  <c r="BT97" i="2"/>
  <c r="BS97" i="2"/>
  <c r="BR97" i="2"/>
  <c r="BQ97" i="2"/>
  <c r="BP97" i="2"/>
  <c r="BO97" i="2"/>
  <c r="BN97" i="2"/>
  <c r="BM97" i="2"/>
  <c r="BL97" i="2"/>
  <c r="BK97" i="2"/>
  <c r="BJ97" i="2"/>
  <c r="BI97" i="2"/>
  <c r="BH97" i="2"/>
  <c r="BG97" i="2"/>
  <c r="BF97" i="2"/>
  <c r="BE97" i="2"/>
  <c r="BD97" i="2"/>
  <c r="BC97" i="2"/>
  <c r="BB97" i="2"/>
  <c r="BA97" i="2"/>
  <c r="AZ97" i="2"/>
  <c r="AY97" i="2"/>
  <c r="AX97" i="2"/>
  <c r="AW97" i="2"/>
  <c r="AV97" i="2"/>
  <c r="AU97" i="2"/>
  <c r="AT97" i="2"/>
  <c r="AS97" i="2"/>
  <c r="AR97" i="2"/>
  <c r="AQ97" i="2"/>
  <c r="AP97" i="2"/>
  <c r="AO97" i="2"/>
  <c r="AN97" i="2"/>
  <c r="AM97" i="2"/>
  <c r="AL97" i="2"/>
  <c r="AK97" i="2"/>
  <c r="AJ97" i="2"/>
  <c r="AI97" i="2"/>
  <c r="AH97" i="2"/>
  <c r="AG97" i="2"/>
  <c r="AF97" i="2"/>
  <c r="AE97" i="2"/>
  <c r="AD97" i="2"/>
  <c r="AC97" i="2"/>
  <c r="AB97" i="2"/>
  <c r="AA97" i="2"/>
  <c r="Z97" i="2"/>
  <c r="Y97" i="2"/>
  <c r="X97" i="2"/>
  <c r="W97" i="2"/>
  <c r="V97" i="2"/>
  <c r="U97" i="2"/>
  <c r="T97" i="2"/>
  <c r="S97" i="2"/>
  <c r="R97" i="2"/>
  <c r="Q97" i="2"/>
  <c r="P97" i="2"/>
  <c r="O97" i="2"/>
  <c r="N97" i="2"/>
  <c r="M97" i="2"/>
  <c r="L97" i="2"/>
  <c r="K97" i="2"/>
  <c r="J97" i="2"/>
  <c r="I97" i="2"/>
  <c r="H97" i="2"/>
  <c r="G97" i="2"/>
  <c r="F97" i="2"/>
  <c r="E97" i="2"/>
  <c r="D103" i="2"/>
  <c r="D102" i="2"/>
  <c r="D101" i="2"/>
  <c r="D100" i="2"/>
  <c r="D99" i="2"/>
  <c r="D98" i="2"/>
  <c r="D97" i="2"/>
  <c r="CA90" i="2"/>
  <c r="BZ90" i="2"/>
  <c r="BY90" i="2"/>
  <c r="BX90" i="2"/>
  <c r="BW90" i="2"/>
  <c r="BV90" i="2"/>
  <c r="BU90" i="2"/>
  <c r="BT90" i="2"/>
  <c r="BS90" i="2"/>
  <c r="BR90" i="2"/>
  <c r="BQ90" i="2"/>
  <c r="BP90" i="2"/>
  <c r="BO90" i="2"/>
  <c r="BN90" i="2"/>
  <c r="BM90" i="2"/>
  <c r="BL90" i="2"/>
  <c r="BK90" i="2"/>
  <c r="BJ90" i="2"/>
  <c r="BI90" i="2"/>
  <c r="BH90" i="2"/>
  <c r="BG90" i="2"/>
  <c r="BF90" i="2"/>
  <c r="BE90" i="2"/>
  <c r="BD90" i="2"/>
  <c r="BC90" i="2"/>
  <c r="BB90" i="2"/>
  <c r="BA90" i="2"/>
  <c r="AZ90" i="2"/>
  <c r="AY90" i="2"/>
  <c r="AX90" i="2"/>
  <c r="AW90" i="2"/>
  <c r="AV90" i="2"/>
  <c r="AU90" i="2"/>
  <c r="AT90" i="2"/>
  <c r="AS90" i="2"/>
  <c r="AR90" i="2"/>
  <c r="AQ90" i="2"/>
  <c r="AP90" i="2"/>
  <c r="AO90" i="2"/>
  <c r="AN90" i="2"/>
  <c r="AM90" i="2"/>
  <c r="AL90" i="2"/>
  <c r="AK90" i="2"/>
  <c r="AJ90" i="2"/>
  <c r="AI90" i="2"/>
  <c r="AH90" i="2"/>
  <c r="AG90" i="2"/>
  <c r="AF90" i="2"/>
  <c r="AE90" i="2"/>
  <c r="AD90" i="2"/>
  <c r="AC90" i="2"/>
  <c r="AB90" i="2"/>
  <c r="AA90" i="2"/>
  <c r="Z90" i="2"/>
  <c r="Y90" i="2"/>
  <c r="X90" i="2"/>
  <c r="W90" i="2"/>
  <c r="V90" i="2"/>
  <c r="U90" i="2"/>
  <c r="T90" i="2"/>
  <c r="S90" i="2"/>
  <c r="R90" i="2"/>
  <c r="Q90" i="2"/>
  <c r="P90" i="2"/>
  <c r="O90" i="2"/>
  <c r="N90" i="2"/>
  <c r="M90" i="2"/>
  <c r="L90" i="2"/>
  <c r="K90" i="2"/>
  <c r="J90" i="2"/>
  <c r="I90" i="2"/>
  <c r="H90" i="2"/>
  <c r="G90" i="2"/>
  <c r="F90" i="2"/>
  <c r="E90" i="2"/>
  <c r="D90" i="2"/>
  <c r="CA91" i="2"/>
  <c r="BZ91" i="2"/>
  <c r="BY91" i="2"/>
  <c r="BX91" i="2"/>
  <c r="BW91" i="2"/>
  <c r="BV91" i="2"/>
  <c r="BU91" i="2"/>
  <c r="BT91" i="2"/>
  <c r="BS91" i="2"/>
  <c r="BR91" i="2"/>
  <c r="BQ91" i="2"/>
  <c r="BP91" i="2"/>
  <c r="BO91" i="2"/>
  <c r="BN91" i="2"/>
  <c r="BM91" i="2"/>
  <c r="BL91" i="2"/>
  <c r="BK91" i="2"/>
  <c r="BJ91" i="2"/>
  <c r="BI91" i="2"/>
  <c r="BH91" i="2"/>
  <c r="BG91" i="2"/>
  <c r="BF91" i="2"/>
  <c r="BE91" i="2"/>
  <c r="BD91" i="2"/>
  <c r="BC91" i="2"/>
  <c r="BB91" i="2"/>
  <c r="BA91" i="2"/>
  <c r="AZ91" i="2"/>
  <c r="AY91" i="2"/>
  <c r="AX91" i="2"/>
  <c r="AW91" i="2"/>
  <c r="AV91" i="2"/>
  <c r="AU91" i="2"/>
  <c r="AT91" i="2"/>
  <c r="AS91" i="2"/>
  <c r="AR91" i="2"/>
  <c r="AQ91" i="2"/>
  <c r="AP91" i="2"/>
  <c r="AO91" i="2"/>
  <c r="AN91" i="2"/>
  <c r="AM91" i="2"/>
  <c r="AL91" i="2"/>
  <c r="AK91" i="2"/>
  <c r="AJ91" i="2"/>
  <c r="AI91" i="2"/>
  <c r="AH91" i="2"/>
  <c r="AG91" i="2"/>
  <c r="AF91" i="2"/>
  <c r="AE91" i="2"/>
  <c r="AD91" i="2"/>
  <c r="AC91" i="2"/>
  <c r="AB91" i="2"/>
  <c r="AA91" i="2"/>
  <c r="Z91" i="2"/>
  <c r="Y91" i="2"/>
  <c r="X91" i="2"/>
  <c r="W91" i="2"/>
  <c r="V91" i="2"/>
  <c r="U91" i="2"/>
  <c r="T91" i="2"/>
  <c r="S91" i="2"/>
  <c r="R91" i="2"/>
  <c r="Q91" i="2"/>
  <c r="P91" i="2"/>
  <c r="O91" i="2"/>
  <c r="N91" i="2"/>
  <c r="M91" i="2"/>
  <c r="L91" i="2"/>
  <c r="K91" i="2"/>
  <c r="J91" i="2"/>
  <c r="I91" i="2"/>
  <c r="H91" i="2"/>
  <c r="G91" i="2"/>
  <c r="F91" i="2"/>
  <c r="E91" i="2"/>
  <c r="D91" i="2"/>
  <c r="CA80" i="2"/>
  <c r="BZ80" i="2"/>
  <c r="BY80" i="2"/>
  <c r="BX80" i="2"/>
  <c r="BW80" i="2"/>
  <c r="BV80" i="2"/>
  <c r="BU80" i="2"/>
  <c r="BT80" i="2"/>
  <c r="BS80" i="2"/>
  <c r="BR80" i="2"/>
  <c r="BQ80" i="2"/>
  <c r="BP80" i="2"/>
  <c r="BO80" i="2"/>
  <c r="BN80" i="2"/>
  <c r="BM80" i="2"/>
  <c r="BL80" i="2"/>
  <c r="BK80" i="2"/>
  <c r="BJ80" i="2"/>
  <c r="BI80" i="2"/>
  <c r="BH80" i="2"/>
  <c r="BG80" i="2"/>
  <c r="BF80" i="2"/>
  <c r="BE80" i="2"/>
  <c r="BD80" i="2"/>
  <c r="BC80" i="2"/>
  <c r="BB80" i="2"/>
  <c r="BA80" i="2"/>
  <c r="AZ80" i="2"/>
  <c r="AY80" i="2"/>
  <c r="AX80" i="2"/>
  <c r="AW80" i="2"/>
  <c r="AV80" i="2"/>
  <c r="AU80" i="2"/>
  <c r="AT80" i="2"/>
  <c r="AS80" i="2"/>
  <c r="AR80" i="2"/>
  <c r="AQ80" i="2"/>
  <c r="AP80" i="2"/>
  <c r="AO80" i="2"/>
  <c r="AN80" i="2"/>
  <c r="AM80" i="2"/>
  <c r="AL80" i="2"/>
  <c r="AK80" i="2"/>
  <c r="AJ80" i="2"/>
  <c r="AI80" i="2"/>
  <c r="AH80" i="2"/>
  <c r="AG80" i="2"/>
  <c r="AF80" i="2"/>
  <c r="AE80" i="2"/>
  <c r="AD80" i="2"/>
  <c r="AC80" i="2"/>
  <c r="AB80" i="2"/>
  <c r="AA80" i="2"/>
  <c r="Z80" i="2"/>
  <c r="Y80" i="2"/>
  <c r="X80" i="2"/>
  <c r="W80" i="2"/>
  <c r="V80" i="2"/>
  <c r="U80" i="2"/>
  <c r="T80" i="2"/>
  <c r="S80" i="2"/>
  <c r="R80" i="2"/>
  <c r="Q80" i="2"/>
  <c r="P80" i="2"/>
  <c r="O80" i="2"/>
  <c r="N80" i="2"/>
  <c r="M80" i="2"/>
  <c r="L80" i="2"/>
  <c r="K80" i="2"/>
  <c r="J80" i="2"/>
  <c r="I80" i="2"/>
  <c r="H80" i="2"/>
  <c r="G80" i="2"/>
  <c r="F80" i="2"/>
  <c r="E80" i="2"/>
  <c r="D80" i="2"/>
  <c r="CA74" i="2"/>
  <c r="BZ74" i="2"/>
  <c r="BY74" i="2"/>
  <c r="BX74" i="2"/>
  <c r="BW74" i="2"/>
  <c r="BV74" i="2"/>
  <c r="BU74" i="2"/>
  <c r="BT74" i="2"/>
  <c r="BS74" i="2"/>
  <c r="BR74" i="2"/>
  <c r="BQ74" i="2"/>
  <c r="BP74" i="2"/>
  <c r="BO74" i="2"/>
  <c r="BN74" i="2"/>
  <c r="BM74" i="2"/>
  <c r="BL74" i="2"/>
  <c r="BK74" i="2"/>
  <c r="BJ74" i="2"/>
  <c r="BI74" i="2"/>
  <c r="BH74" i="2"/>
  <c r="BG74" i="2"/>
  <c r="BF74" i="2"/>
  <c r="BE74" i="2"/>
  <c r="BD74" i="2"/>
  <c r="BC74" i="2"/>
  <c r="BB74" i="2"/>
  <c r="BA74" i="2"/>
  <c r="AZ74" i="2"/>
  <c r="AY74" i="2"/>
  <c r="AX74" i="2"/>
  <c r="AW74" i="2"/>
  <c r="AV74" i="2"/>
  <c r="AU74" i="2"/>
  <c r="AT74" i="2"/>
  <c r="AS74" i="2"/>
  <c r="AR74" i="2"/>
  <c r="AQ74" i="2"/>
  <c r="AP74" i="2"/>
  <c r="AO74" i="2"/>
  <c r="AN74" i="2"/>
  <c r="AM74" i="2"/>
  <c r="AL74" i="2"/>
  <c r="AK74" i="2"/>
  <c r="AJ74" i="2"/>
  <c r="AI74" i="2"/>
  <c r="AH74" i="2"/>
  <c r="AG74" i="2"/>
  <c r="AF74" i="2"/>
  <c r="AE74" i="2"/>
  <c r="AD74" i="2"/>
  <c r="AC74" i="2"/>
  <c r="AB74" i="2"/>
  <c r="AA74" i="2"/>
  <c r="Z74" i="2"/>
  <c r="Y74" i="2"/>
  <c r="X74" i="2"/>
  <c r="W74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D74" i="2"/>
  <c r="BW75" i="2"/>
  <c r="BV75" i="2"/>
  <c r="BV89" i="2" s="1"/>
  <c r="BU75" i="2"/>
  <c r="BU88" i="2" s="1"/>
  <c r="BT75" i="2"/>
  <c r="BT89" i="2" s="1"/>
  <c r="BK75" i="2"/>
  <c r="BJ75" i="2"/>
  <c r="BJ89" i="2" s="1"/>
  <c r="BI75" i="2"/>
  <c r="BI88" i="2" s="1"/>
  <c r="BH75" i="2"/>
  <c r="BH89" i="2" s="1"/>
  <c r="AY75" i="2"/>
  <c r="AX75" i="2"/>
  <c r="AX89" i="2" s="1"/>
  <c r="AW75" i="2"/>
  <c r="AW88" i="2" s="1"/>
  <c r="AV75" i="2"/>
  <c r="AV89" i="2" s="1"/>
  <c r="AM75" i="2"/>
  <c r="AL75" i="2"/>
  <c r="AL89" i="2" s="1"/>
  <c r="AK75" i="2"/>
  <c r="AK88" i="2" s="1"/>
  <c r="AJ75" i="2"/>
  <c r="AJ89" i="2" s="1"/>
  <c r="AA75" i="2"/>
  <c r="Z75" i="2"/>
  <c r="Z89" i="2" s="1"/>
  <c r="Y75" i="2"/>
  <c r="X75" i="2"/>
  <c r="X89" i="2" s="1"/>
  <c r="O75" i="2"/>
  <c r="N75" i="2"/>
  <c r="N89" i="2" s="1"/>
  <c r="M75" i="2"/>
  <c r="M88" i="2" s="1"/>
  <c r="L75" i="2"/>
  <c r="L89" i="2" s="1"/>
  <c r="CA43" i="2"/>
  <c r="CA75" i="2" s="1"/>
  <c r="BZ43" i="2"/>
  <c r="BZ75" i="2" s="1"/>
  <c r="BY43" i="2"/>
  <c r="BY75" i="2" s="1"/>
  <c r="BY86" i="2" s="1"/>
  <c r="BX43" i="2"/>
  <c r="BX75" i="2" s="1"/>
  <c r="BW43" i="2"/>
  <c r="BV43" i="2"/>
  <c r="BU43" i="2"/>
  <c r="BT43" i="2"/>
  <c r="BS43" i="2"/>
  <c r="BS75" i="2" s="1"/>
  <c r="BR43" i="2"/>
  <c r="BR75" i="2" s="1"/>
  <c r="BQ43" i="2"/>
  <c r="BQ75" i="2" s="1"/>
  <c r="BQ89" i="2" s="1"/>
  <c r="BP43" i="2"/>
  <c r="BP75" i="2" s="1"/>
  <c r="BP89" i="2" s="1"/>
  <c r="BO43" i="2"/>
  <c r="BO75" i="2" s="1"/>
  <c r="BN43" i="2"/>
  <c r="BN75" i="2" s="1"/>
  <c r="BM43" i="2"/>
  <c r="BM75" i="2" s="1"/>
  <c r="BM86" i="2" s="1"/>
  <c r="BL43" i="2"/>
  <c r="BL75" i="2" s="1"/>
  <c r="BL86" i="2" s="1"/>
  <c r="BK43" i="2"/>
  <c r="BJ43" i="2"/>
  <c r="BI43" i="2"/>
  <c r="BH43" i="2"/>
  <c r="BG43" i="2"/>
  <c r="BG75" i="2" s="1"/>
  <c r="BF43" i="2"/>
  <c r="BF75" i="2" s="1"/>
  <c r="BF89" i="2" s="1"/>
  <c r="BE43" i="2"/>
  <c r="BE75" i="2" s="1"/>
  <c r="BE89" i="2" s="1"/>
  <c r="BD43" i="2"/>
  <c r="BD75" i="2" s="1"/>
  <c r="BD89" i="2" s="1"/>
  <c r="BC43" i="2"/>
  <c r="BC75" i="2" s="1"/>
  <c r="BB43" i="2"/>
  <c r="BB75" i="2" s="1"/>
  <c r="BA43" i="2"/>
  <c r="BA75" i="2" s="1"/>
  <c r="BA86" i="2" s="1"/>
  <c r="AZ43" i="2"/>
  <c r="AZ75" i="2" s="1"/>
  <c r="AY43" i="2"/>
  <c r="AX43" i="2"/>
  <c r="AW43" i="2"/>
  <c r="AV43" i="2"/>
  <c r="AU43" i="2"/>
  <c r="AU75" i="2" s="1"/>
  <c r="AT43" i="2"/>
  <c r="AT75" i="2" s="1"/>
  <c r="AS43" i="2"/>
  <c r="AS75" i="2" s="1"/>
  <c r="AS89" i="2" s="1"/>
  <c r="AR43" i="2"/>
  <c r="AR75" i="2" s="1"/>
  <c r="AR89" i="2" s="1"/>
  <c r="AQ43" i="2"/>
  <c r="AQ75" i="2" s="1"/>
  <c r="AP43" i="2"/>
  <c r="AP75" i="2" s="1"/>
  <c r="AO43" i="2"/>
  <c r="AO75" i="2" s="1"/>
  <c r="AO86" i="2" s="1"/>
  <c r="AN43" i="2"/>
  <c r="AN75" i="2" s="1"/>
  <c r="AM43" i="2"/>
  <c r="AL43" i="2"/>
  <c r="AK43" i="2"/>
  <c r="AJ43" i="2"/>
  <c r="AI43" i="2"/>
  <c r="AI75" i="2" s="1"/>
  <c r="AH43" i="2"/>
  <c r="AH75" i="2" s="1"/>
  <c r="AH89" i="2" s="1"/>
  <c r="AG43" i="2"/>
  <c r="AG75" i="2" s="1"/>
  <c r="AG89" i="2" s="1"/>
  <c r="AF43" i="2"/>
  <c r="AF75" i="2" s="1"/>
  <c r="AF89" i="2" s="1"/>
  <c r="AE43" i="2"/>
  <c r="AE75" i="2" s="1"/>
  <c r="AD43" i="2"/>
  <c r="AD75" i="2" s="1"/>
  <c r="AC43" i="2"/>
  <c r="AC75" i="2" s="1"/>
  <c r="AC86" i="2" s="1"/>
  <c r="AB43" i="2"/>
  <c r="AB75" i="2" s="1"/>
  <c r="AB86" i="2" s="1"/>
  <c r="AA43" i="2"/>
  <c r="Z43" i="2"/>
  <c r="Y43" i="2"/>
  <c r="X43" i="2"/>
  <c r="W43" i="2"/>
  <c r="W75" i="2" s="1"/>
  <c r="V43" i="2"/>
  <c r="V75" i="2" s="1"/>
  <c r="U43" i="2"/>
  <c r="U75" i="2" s="1"/>
  <c r="U89" i="2" s="1"/>
  <c r="T43" i="2"/>
  <c r="T75" i="2" s="1"/>
  <c r="T89" i="2" s="1"/>
  <c r="S43" i="2"/>
  <c r="S75" i="2" s="1"/>
  <c r="R43" i="2"/>
  <c r="R75" i="2" s="1"/>
  <c r="Q43" i="2"/>
  <c r="Q75" i="2" s="1"/>
  <c r="Q86" i="2" s="1"/>
  <c r="P43" i="2"/>
  <c r="P75" i="2" s="1"/>
  <c r="O43" i="2"/>
  <c r="N43" i="2"/>
  <c r="M43" i="2"/>
  <c r="L43" i="2"/>
  <c r="K43" i="2"/>
  <c r="K75" i="2" s="1"/>
  <c r="J43" i="2"/>
  <c r="J75" i="2" s="1"/>
  <c r="I43" i="2"/>
  <c r="I75" i="2" s="1"/>
  <c r="I89" i="2" s="1"/>
  <c r="H43" i="2"/>
  <c r="H75" i="2" s="1"/>
  <c r="H89" i="2" s="1"/>
  <c r="G43" i="2"/>
  <c r="G75" i="2" s="1"/>
  <c r="F43" i="2"/>
  <c r="F75" i="2" s="1"/>
  <c r="E43" i="2"/>
  <c r="E75" i="2" s="1"/>
  <c r="E86" i="2" s="1"/>
  <c r="D43" i="2"/>
  <c r="D75" i="2" s="1"/>
  <c r="D48" i="2"/>
  <c r="BA84" i="2"/>
  <c r="AY84" i="2"/>
  <c r="AX84" i="2"/>
  <c r="AV84" i="2"/>
  <c r="AU84" i="2"/>
  <c r="AC84" i="2"/>
  <c r="Z84" i="2"/>
  <c r="Q84" i="2"/>
  <c r="E84" i="2"/>
  <c r="BY87" i="2"/>
  <c r="BX87" i="2"/>
  <c r="BW87" i="2"/>
  <c r="BV87" i="2"/>
  <c r="BM87" i="2"/>
  <c r="BL87" i="2"/>
  <c r="AR87" i="2"/>
  <c r="AO87" i="2"/>
  <c r="AN87" i="2"/>
  <c r="AM87" i="2"/>
  <c r="AL87" i="2"/>
  <c r="AC87" i="2"/>
  <c r="T87" i="2"/>
  <c r="Q87" i="2"/>
  <c r="P87" i="2"/>
  <c r="O87" i="2"/>
  <c r="N87" i="2"/>
  <c r="M87" i="2"/>
  <c r="E87" i="2"/>
  <c r="D87" i="2"/>
  <c r="CA81" i="2"/>
  <c r="CA84" i="2" s="1"/>
  <c r="BZ81" i="2"/>
  <c r="BY81" i="2"/>
  <c r="BY84" i="2" s="1"/>
  <c r="BX81" i="2"/>
  <c r="BX84" i="2" s="1"/>
  <c r="BW81" i="2"/>
  <c r="BW84" i="2" s="1"/>
  <c r="BV81" i="2"/>
  <c r="BV84" i="2" s="1"/>
  <c r="BU81" i="2"/>
  <c r="BT81" i="2"/>
  <c r="BT87" i="2" s="1"/>
  <c r="BS81" i="2"/>
  <c r="BS87" i="2" s="1"/>
  <c r="BR81" i="2"/>
  <c r="BQ81" i="2"/>
  <c r="BP81" i="2"/>
  <c r="BP84" i="2" s="1"/>
  <c r="BO81" i="2"/>
  <c r="BO84" i="2" s="1"/>
  <c r="BN81" i="2"/>
  <c r="BM81" i="2"/>
  <c r="BM84" i="2" s="1"/>
  <c r="BL81" i="2"/>
  <c r="BL84" i="2" s="1"/>
  <c r="BK81" i="2"/>
  <c r="BK87" i="2" s="1"/>
  <c r="BJ81" i="2"/>
  <c r="BJ87" i="2" s="1"/>
  <c r="BI81" i="2"/>
  <c r="BH81" i="2"/>
  <c r="BH87" i="2" s="1"/>
  <c r="BG81" i="2"/>
  <c r="BG87" i="2" s="1"/>
  <c r="BF81" i="2"/>
  <c r="BF87" i="2" s="1"/>
  <c r="BE81" i="2"/>
  <c r="BD81" i="2"/>
  <c r="BD84" i="2" s="1"/>
  <c r="BC81" i="2"/>
  <c r="BC84" i="2" s="1"/>
  <c r="BB81" i="2"/>
  <c r="BA81" i="2"/>
  <c r="BA87" i="2" s="1"/>
  <c r="AZ81" i="2"/>
  <c r="AZ84" i="2" s="1"/>
  <c r="AY81" i="2"/>
  <c r="AY87" i="2" s="1"/>
  <c r="AX81" i="2"/>
  <c r="AX87" i="2" s="1"/>
  <c r="AW81" i="2"/>
  <c r="AV81" i="2"/>
  <c r="AV87" i="2" s="1"/>
  <c r="AU81" i="2"/>
  <c r="AU87" i="2" s="1"/>
  <c r="AT81" i="2"/>
  <c r="AT87" i="2" s="1"/>
  <c r="AS81" i="2"/>
  <c r="AR81" i="2"/>
  <c r="AR84" i="2" s="1"/>
  <c r="AQ81" i="2"/>
  <c r="AQ84" i="2" s="1"/>
  <c r="AP81" i="2"/>
  <c r="AO81" i="2"/>
  <c r="AO84" i="2" s="1"/>
  <c r="AN81" i="2"/>
  <c r="AN84" i="2" s="1"/>
  <c r="AM81" i="2"/>
  <c r="AM84" i="2" s="1"/>
  <c r="AL81" i="2"/>
  <c r="AL84" i="2" s="1"/>
  <c r="AK81" i="2"/>
  <c r="AJ81" i="2"/>
  <c r="AJ87" i="2" s="1"/>
  <c r="AI81" i="2"/>
  <c r="AI87" i="2" s="1"/>
  <c r="AH81" i="2"/>
  <c r="AH87" i="2" s="1"/>
  <c r="AG81" i="2"/>
  <c r="AF81" i="2"/>
  <c r="AF84" i="2" s="1"/>
  <c r="AE81" i="2"/>
  <c r="AE84" i="2" s="1"/>
  <c r="AD81" i="2"/>
  <c r="AC81" i="2"/>
  <c r="AB81" i="2"/>
  <c r="AB84" i="2" s="1"/>
  <c r="AA81" i="2"/>
  <c r="AA87" i="2" s="1"/>
  <c r="Z81" i="2"/>
  <c r="Z87" i="2" s="1"/>
  <c r="Y81" i="2"/>
  <c r="Y84" i="2" s="1"/>
  <c r="X81" i="2"/>
  <c r="X87" i="2" s="1"/>
  <c r="W81" i="2"/>
  <c r="W87" i="2" s="1"/>
  <c r="V81" i="2"/>
  <c r="V87" i="2" s="1"/>
  <c r="U81" i="2"/>
  <c r="T81" i="2"/>
  <c r="T84" i="2" s="1"/>
  <c r="S81" i="2"/>
  <c r="S84" i="2" s="1"/>
  <c r="R81" i="2"/>
  <c r="Q81" i="2"/>
  <c r="P81" i="2"/>
  <c r="P84" i="2" s="1"/>
  <c r="O81" i="2"/>
  <c r="O84" i="2" s="1"/>
  <c r="N81" i="2"/>
  <c r="N84" i="2" s="1"/>
  <c r="M81" i="2"/>
  <c r="M84" i="2" s="1"/>
  <c r="L81" i="2"/>
  <c r="L87" i="2" s="1"/>
  <c r="K81" i="2"/>
  <c r="K87" i="2" s="1"/>
  <c r="J81" i="2"/>
  <c r="J87" i="2" s="1"/>
  <c r="I81" i="2"/>
  <c r="H81" i="2"/>
  <c r="H84" i="2" s="1"/>
  <c r="G81" i="2"/>
  <c r="G84" i="2" s="1"/>
  <c r="F81" i="2"/>
  <c r="E81" i="2"/>
  <c r="D81" i="2"/>
  <c r="D84" i="2" s="1"/>
  <c r="C81" i="2"/>
  <c r="C87" i="2" s="1"/>
  <c r="BR79" i="2"/>
  <c r="AD79" i="2"/>
  <c r="AD89" i="2" s="1"/>
  <c r="AC79" i="2"/>
  <c r="AC89" i="2" s="1"/>
  <c r="BP78" i="2"/>
  <c r="BN78" i="2"/>
  <c r="BN88" i="2" s="1"/>
  <c r="R78" i="2"/>
  <c r="R88" i="2" s="1"/>
  <c r="H78" i="2"/>
  <c r="F78" i="2"/>
  <c r="F88" i="2" s="1"/>
  <c r="BL77" i="2"/>
  <c r="BG77" i="2"/>
  <c r="AZ77" i="2"/>
  <c r="AZ86" i="2" s="1"/>
  <c r="AW77" i="2"/>
  <c r="AW83" i="2" s="1"/>
  <c r="AB77" i="2"/>
  <c r="Y77" i="2"/>
  <c r="Y83" i="2" s="1"/>
  <c r="W77" i="2"/>
  <c r="W86" i="2" s="1"/>
  <c r="U77" i="2"/>
  <c r="U83" i="2" s="1"/>
  <c r="AZ76" i="2"/>
  <c r="AY76" i="2"/>
  <c r="AY85" i="2" s="1"/>
  <c r="CA58" i="2"/>
  <c r="BZ58" i="2"/>
  <c r="BY58" i="2"/>
  <c r="BX58" i="2"/>
  <c r="BW58" i="2"/>
  <c r="BV58" i="2"/>
  <c r="BU58" i="2"/>
  <c r="BT58" i="2"/>
  <c r="BS58" i="2"/>
  <c r="BR58" i="2"/>
  <c r="BQ58" i="2"/>
  <c r="BP58" i="2"/>
  <c r="BO58" i="2"/>
  <c r="BN58" i="2"/>
  <c r="BM58" i="2"/>
  <c r="BL58" i="2"/>
  <c r="BK58" i="2"/>
  <c r="BJ58" i="2"/>
  <c r="BI58" i="2"/>
  <c r="BH58" i="2"/>
  <c r="BG58" i="2"/>
  <c r="BF58" i="2"/>
  <c r="BE58" i="2"/>
  <c r="BD58" i="2"/>
  <c r="BC58" i="2"/>
  <c r="BB58" i="2"/>
  <c r="BA58" i="2"/>
  <c r="AZ58" i="2"/>
  <c r="AY58" i="2"/>
  <c r="AX58" i="2"/>
  <c r="AW58" i="2"/>
  <c r="AV58" i="2"/>
  <c r="AU58" i="2"/>
  <c r="AT58" i="2"/>
  <c r="AS58" i="2"/>
  <c r="AR58" i="2"/>
  <c r="AQ58" i="2"/>
  <c r="AP58" i="2"/>
  <c r="AO58" i="2"/>
  <c r="AN58" i="2"/>
  <c r="AM58" i="2"/>
  <c r="AL58" i="2"/>
  <c r="AK58" i="2"/>
  <c r="AJ58" i="2"/>
  <c r="AI58" i="2"/>
  <c r="AH58" i="2"/>
  <c r="AG58" i="2"/>
  <c r="AF58" i="2"/>
  <c r="AE58" i="2"/>
  <c r="AD58" i="2"/>
  <c r="AC58" i="2"/>
  <c r="AB58" i="2"/>
  <c r="AA58" i="2"/>
  <c r="Z58" i="2"/>
  <c r="Y58" i="2"/>
  <c r="X58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D58" i="2"/>
  <c r="CA57" i="2"/>
  <c r="BZ57" i="2"/>
  <c r="BY57" i="2"/>
  <c r="BX57" i="2"/>
  <c r="BW57" i="2"/>
  <c r="BV57" i="2"/>
  <c r="BU57" i="2"/>
  <c r="BT57" i="2"/>
  <c r="BS57" i="2"/>
  <c r="BR57" i="2"/>
  <c r="BQ57" i="2"/>
  <c r="BP57" i="2"/>
  <c r="BO57" i="2"/>
  <c r="BN57" i="2"/>
  <c r="BM57" i="2"/>
  <c r="BL57" i="2"/>
  <c r="BK57" i="2"/>
  <c r="BJ57" i="2"/>
  <c r="BI57" i="2"/>
  <c r="BH57" i="2"/>
  <c r="BG57" i="2"/>
  <c r="BF57" i="2"/>
  <c r="BE57" i="2"/>
  <c r="BD57" i="2"/>
  <c r="BC57" i="2"/>
  <c r="BB57" i="2"/>
  <c r="BA57" i="2"/>
  <c r="AZ57" i="2"/>
  <c r="AY57" i="2"/>
  <c r="AX57" i="2"/>
  <c r="AW57" i="2"/>
  <c r="AV57" i="2"/>
  <c r="AU57" i="2"/>
  <c r="AT57" i="2"/>
  <c r="AS57" i="2"/>
  <c r="AR57" i="2"/>
  <c r="AQ57" i="2"/>
  <c r="AP57" i="2"/>
  <c r="AO57" i="2"/>
  <c r="AN57" i="2"/>
  <c r="AM57" i="2"/>
  <c r="AL57" i="2"/>
  <c r="AK57" i="2"/>
  <c r="AJ57" i="2"/>
  <c r="AI57" i="2"/>
  <c r="AH57" i="2"/>
  <c r="AG57" i="2"/>
  <c r="AF57" i="2"/>
  <c r="AE57" i="2"/>
  <c r="AD57" i="2"/>
  <c r="AC57" i="2"/>
  <c r="AB57" i="2"/>
  <c r="AA57" i="2"/>
  <c r="Z57" i="2"/>
  <c r="Y57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A54" i="2"/>
  <c r="BZ54" i="2"/>
  <c r="BY54" i="2"/>
  <c r="BX54" i="2"/>
  <c r="BW54" i="2"/>
  <c r="BV54" i="2"/>
  <c r="BU54" i="2"/>
  <c r="BT54" i="2"/>
  <c r="BS54" i="2"/>
  <c r="BR54" i="2"/>
  <c r="BQ54" i="2"/>
  <c r="BP54" i="2"/>
  <c r="BO54" i="2"/>
  <c r="BN54" i="2"/>
  <c r="BM54" i="2"/>
  <c r="BL54" i="2"/>
  <c r="BK54" i="2"/>
  <c r="BJ54" i="2"/>
  <c r="BI54" i="2"/>
  <c r="BH54" i="2"/>
  <c r="BG54" i="2"/>
  <c r="BF54" i="2"/>
  <c r="BE54" i="2"/>
  <c r="BD54" i="2"/>
  <c r="BC54" i="2"/>
  <c r="BB54" i="2"/>
  <c r="BA54" i="2"/>
  <c r="AZ54" i="2"/>
  <c r="AY54" i="2"/>
  <c r="AX54" i="2"/>
  <c r="AW54" i="2"/>
  <c r="AV54" i="2"/>
  <c r="AU54" i="2"/>
  <c r="AT54" i="2"/>
  <c r="AS54" i="2"/>
  <c r="AR54" i="2"/>
  <c r="AQ54" i="2"/>
  <c r="AP54" i="2"/>
  <c r="AO54" i="2"/>
  <c r="AN54" i="2"/>
  <c r="AM54" i="2"/>
  <c r="AL54" i="2"/>
  <c r="AK54" i="2"/>
  <c r="AJ54" i="2"/>
  <c r="AI54" i="2"/>
  <c r="AH54" i="2"/>
  <c r="AG54" i="2"/>
  <c r="AF54" i="2"/>
  <c r="AE54" i="2"/>
  <c r="AD54" i="2"/>
  <c r="AC54" i="2"/>
  <c r="AB54" i="2"/>
  <c r="AA54" i="2"/>
  <c r="Z54" i="2"/>
  <c r="Y54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CA52" i="2"/>
  <c r="CA79" i="2" s="1"/>
  <c r="CA89" i="2" s="1"/>
  <c r="BZ52" i="2"/>
  <c r="BZ79" i="2" s="1"/>
  <c r="BZ89" i="2" s="1"/>
  <c r="BY52" i="2"/>
  <c r="BY79" i="2" s="1"/>
  <c r="BY89" i="2" s="1"/>
  <c r="BX52" i="2"/>
  <c r="BX79" i="2" s="1"/>
  <c r="BX89" i="2" s="1"/>
  <c r="BW52" i="2"/>
  <c r="BW79" i="2" s="1"/>
  <c r="BW89" i="2" s="1"/>
  <c r="BV52" i="2"/>
  <c r="BV79" i="2" s="1"/>
  <c r="BU52" i="2"/>
  <c r="BU79" i="2" s="1"/>
  <c r="BU89" i="2" s="1"/>
  <c r="BT52" i="2"/>
  <c r="BT79" i="2" s="1"/>
  <c r="BS52" i="2"/>
  <c r="BR52" i="2"/>
  <c r="BQ52" i="2"/>
  <c r="BQ79" i="2" s="1"/>
  <c r="BP52" i="2"/>
  <c r="BP79" i="2" s="1"/>
  <c r="BO52" i="2"/>
  <c r="BO79" i="2" s="1"/>
  <c r="BO89" i="2" s="1"/>
  <c r="BN52" i="2"/>
  <c r="BN79" i="2" s="1"/>
  <c r="BN89" i="2" s="1"/>
  <c r="BM52" i="2"/>
  <c r="BM79" i="2" s="1"/>
  <c r="BM89" i="2" s="1"/>
  <c r="BL52" i="2"/>
  <c r="BL79" i="2" s="1"/>
  <c r="BL89" i="2" s="1"/>
  <c r="BK52" i="2"/>
  <c r="BK79" i="2" s="1"/>
  <c r="BK89" i="2" s="1"/>
  <c r="BJ52" i="2"/>
  <c r="BJ79" i="2" s="1"/>
  <c r="BI52" i="2"/>
  <c r="BI79" i="2" s="1"/>
  <c r="BI89" i="2" s="1"/>
  <c r="BH52" i="2"/>
  <c r="BH79" i="2" s="1"/>
  <c r="BG52" i="2"/>
  <c r="BF52" i="2"/>
  <c r="BF79" i="2" s="1"/>
  <c r="BE52" i="2"/>
  <c r="BE79" i="2" s="1"/>
  <c r="BD52" i="2"/>
  <c r="BD79" i="2" s="1"/>
  <c r="BC52" i="2"/>
  <c r="BC79" i="2" s="1"/>
  <c r="BC89" i="2" s="1"/>
  <c r="BB52" i="2"/>
  <c r="BB79" i="2" s="1"/>
  <c r="BB89" i="2" s="1"/>
  <c r="BA52" i="2"/>
  <c r="BA79" i="2" s="1"/>
  <c r="BA89" i="2" s="1"/>
  <c r="AZ52" i="2"/>
  <c r="AZ79" i="2" s="1"/>
  <c r="AZ89" i="2" s="1"/>
  <c r="AY52" i="2"/>
  <c r="AY79" i="2" s="1"/>
  <c r="AY89" i="2" s="1"/>
  <c r="AX52" i="2"/>
  <c r="AX79" i="2" s="1"/>
  <c r="AW52" i="2"/>
  <c r="AW79" i="2" s="1"/>
  <c r="AW89" i="2" s="1"/>
  <c r="AV52" i="2"/>
  <c r="AV79" i="2" s="1"/>
  <c r="AU52" i="2"/>
  <c r="AT52" i="2"/>
  <c r="AS52" i="2"/>
  <c r="AS79" i="2" s="1"/>
  <c r="AR52" i="2"/>
  <c r="AR79" i="2" s="1"/>
  <c r="AQ52" i="2"/>
  <c r="AQ79" i="2" s="1"/>
  <c r="AQ89" i="2" s="1"/>
  <c r="AP52" i="2"/>
  <c r="AP79" i="2" s="1"/>
  <c r="AP89" i="2" s="1"/>
  <c r="AO52" i="2"/>
  <c r="AO79" i="2" s="1"/>
  <c r="AO89" i="2" s="1"/>
  <c r="AN52" i="2"/>
  <c r="AN79" i="2" s="1"/>
  <c r="AN89" i="2" s="1"/>
  <c r="AM52" i="2"/>
  <c r="AM79" i="2" s="1"/>
  <c r="AM89" i="2" s="1"/>
  <c r="AL52" i="2"/>
  <c r="AL79" i="2" s="1"/>
  <c r="AK52" i="2"/>
  <c r="AK79" i="2" s="1"/>
  <c r="AK89" i="2" s="1"/>
  <c r="AJ52" i="2"/>
  <c r="AJ79" i="2" s="1"/>
  <c r="AI52" i="2"/>
  <c r="AH52" i="2"/>
  <c r="AH79" i="2" s="1"/>
  <c r="AG52" i="2"/>
  <c r="AG79" i="2" s="1"/>
  <c r="AF52" i="2"/>
  <c r="AF79" i="2" s="1"/>
  <c r="AE52" i="2"/>
  <c r="AE79" i="2" s="1"/>
  <c r="AE89" i="2" s="1"/>
  <c r="AD52" i="2"/>
  <c r="AD78" i="2" s="1"/>
  <c r="AD88" i="2" s="1"/>
  <c r="AC52" i="2"/>
  <c r="AB52" i="2"/>
  <c r="AB79" i="2" s="1"/>
  <c r="AB89" i="2" s="1"/>
  <c r="AA52" i="2"/>
  <c r="AA79" i="2" s="1"/>
  <c r="AA89" i="2" s="1"/>
  <c r="Z52" i="2"/>
  <c r="Z79" i="2" s="1"/>
  <c r="Y52" i="2"/>
  <c r="Y79" i="2" s="1"/>
  <c r="Y89" i="2" s="1"/>
  <c r="X52" i="2"/>
  <c r="X79" i="2" s="1"/>
  <c r="W52" i="2"/>
  <c r="V52" i="2"/>
  <c r="U52" i="2"/>
  <c r="U79" i="2" s="1"/>
  <c r="T52" i="2"/>
  <c r="T79" i="2" s="1"/>
  <c r="S52" i="2"/>
  <c r="S79" i="2" s="1"/>
  <c r="S89" i="2" s="1"/>
  <c r="R52" i="2"/>
  <c r="R79" i="2" s="1"/>
  <c r="R89" i="2" s="1"/>
  <c r="Q52" i="2"/>
  <c r="Q79" i="2" s="1"/>
  <c r="Q89" i="2" s="1"/>
  <c r="P52" i="2"/>
  <c r="P79" i="2" s="1"/>
  <c r="P89" i="2" s="1"/>
  <c r="O52" i="2"/>
  <c r="O79" i="2" s="1"/>
  <c r="O89" i="2" s="1"/>
  <c r="N52" i="2"/>
  <c r="N79" i="2" s="1"/>
  <c r="M52" i="2"/>
  <c r="M79" i="2" s="1"/>
  <c r="M89" i="2" s="1"/>
  <c r="L52" i="2"/>
  <c r="L79" i="2" s="1"/>
  <c r="K52" i="2"/>
  <c r="J52" i="2"/>
  <c r="I52" i="2"/>
  <c r="I79" i="2" s="1"/>
  <c r="H52" i="2"/>
  <c r="H79" i="2" s="1"/>
  <c r="G52" i="2"/>
  <c r="G79" i="2" s="1"/>
  <c r="G89" i="2" s="1"/>
  <c r="F52" i="2"/>
  <c r="F79" i="2" s="1"/>
  <c r="F89" i="2" s="1"/>
  <c r="E52" i="2"/>
  <c r="E79" i="2" s="1"/>
  <c r="E89" i="2" s="1"/>
  <c r="CA51" i="2"/>
  <c r="CA77" i="2" s="1"/>
  <c r="CA86" i="2" s="1"/>
  <c r="BZ51" i="2"/>
  <c r="BZ77" i="2" s="1"/>
  <c r="BY51" i="2"/>
  <c r="BY77" i="2" s="1"/>
  <c r="BX51" i="2"/>
  <c r="BX77" i="2" s="1"/>
  <c r="BX86" i="2" s="1"/>
  <c r="BW51" i="2"/>
  <c r="BW77" i="2" s="1"/>
  <c r="BW86" i="2" s="1"/>
  <c r="BV51" i="2"/>
  <c r="BV77" i="2" s="1"/>
  <c r="BV86" i="2" s="1"/>
  <c r="BU51" i="2"/>
  <c r="BU77" i="2" s="1"/>
  <c r="BT51" i="2"/>
  <c r="BT77" i="2" s="1"/>
  <c r="BT86" i="2" s="1"/>
  <c r="BS51" i="2"/>
  <c r="BS77" i="2" s="1"/>
  <c r="BR51" i="2"/>
  <c r="BR77" i="2" s="1"/>
  <c r="BQ51" i="2"/>
  <c r="BQ77" i="2" s="1"/>
  <c r="BP51" i="2"/>
  <c r="BP77" i="2" s="1"/>
  <c r="BO51" i="2"/>
  <c r="BO77" i="2" s="1"/>
  <c r="BO86" i="2" s="1"/>
  <c r="BN51" i="2"/>
  <c r="BN77" i="2" s="1"/>
  <c r="BN86" i="2" s="1"/>
  <c r="BM51" i="2"/>
  <c r="BM77" i="2" s="1"/>
  <c r="BL51" i="2"/>
  <c r="BK51" i="2"/>
  <c r="BK77" i="2" s="1"/>
  <c r="BJ51" i="2"/>
  <c r="BJ77" i="2" s="1"/>
  <c r="BJ86" i="2" s="1"/>
  <c r="BI51" i="2"/>
  <c r="BI77" i="2" s="1"/>
  <c r="BI86" i="2" s="1"/>
  <c r="BH51" i="2"/>
  <c r="BH77" i="2" s="1"/>
  <c r="BH86" i="2" s="1"/>
  <c r="BG51" i="2"/>
  <c r="BF51" i="2"/>
  <c r="BF77" i="2" s="1"/>
  <c r="BE51" i="2"/>
  <c r="BE77" i="2" s="1"/>
  <c r="BD51" i="2"/>
  <c r="BD77" i="2" s="1"/>
  <c r="BC51" i="2"/>
  <c r="BC77" i="2" s="1"/>
  <c r="BC86" i="2" s="1"/>
  <c r="BB51" i="2"/>
  <c r="BB77" i="2" s="1"/>
  <c r="BA51" i="2"/>
  <c r="BA77" i="2" s="1"/>
  <c r="AZ51" i="2"/>
  <c r="AY51" i="2"/>
  <c r="AY77" i="2" s="1"/>
  <c r="AY86" i="2" s="1"/>
  <c r="AX51" i="2"/>
  <c r="AX77" i="2" s="1"/>
  <c r="AX83" i="2" s="1"/>
  <c r="AW51" i="2"/>
  <c r="AV51" i="2"/>
  <c r="AV77" i="2" s="1"/>
  <c r="AV86" i="2" s="1"/>
  <c r="AU51" i="2"/>
  <c r="AU77" i="2" s="1"/>
  <c r="AT51" i="2"/>
  <c r="AT77" i="2" s="1"/>
  <c r="AS51" i="2"/>
  <c r="AS77" i="2" s="1"/>
  <c r="AR51" i="2"/>
  <c r="AR77" i="2" s="1"/>
  <c r="AQ51" i="2"/>
  <c r="AQ77" i="2" s="1"/>
  <c r="AQ86" i="2" s="1"/>
  <c r="AP51" i="2"/>
  <c r="AP77" i="2" s="1"/>
  <c r="AP86" i="2" s="1"/>
  <c r="AO51" i="2"/>
  <c r="AO77" i="2" s="1"/>
  <c r="AN51" i="2"/>
  <c r="AN77" i="2" s="1"/>
  <c r="AN86" i="2" s="1"/>
  <c r="AM51" i="2"/>
  <c r="AM77" i="2" s="1"/>
  <c r="AM86" i="2" s="1"/>
  <c r="AL51" i="2"/>
  <c r="AL77" i="2" s="1"/>
  <c r="AL86" i="2" s="1"/>
  <c r="AK51" i="2"/>
  <c r="AK77" i="2" s="1"/>
  <c r="AK86" i="2" s="1"/>
  <c r="AJ51" i="2"/>
  <c r="AI51" i="2"/>
  <c r="AI77" i="2" s="1"/>
  <c r="AH51" i="2"/>
  <c r="AH77" i="2" s="1"/>
  <c r="AG51" i="2"/>
  <c r="AG77" i="2" s="1"/>
  <c r="AF51" i="2"/>
  <c r="AF77" i="2" s="1"/>
  <c r="AE51" i="2"/>
  <c r="AE77" i="2" s="1"/>
  <c r="AE86" i="2" s="1"/>
  <c r="AD51" i="2"/>
  <c r="AD77" i="2" s="1"/>
  <c r="AC51" i="2"/>
  <c r="AC77" i="2" s="1"/>
  <c r="AB51" i="2"/>
  <c r="AA51" i="2"/>
  <c r="AA77" i="2" s="1"/>
  <c r="AA86" i="2" s="1"/>
  <c r="Z51" i="2"/>
  <c r="Z77" i="2" s="1"/>
  <c r="Z83" i="2" s="1"/>
  <c r="Y51" i="2"/>
  <c r="X51" i="2"/>
  <c r="X77" i="2" s="1"/>
  <c r="X86" i="2" s="1"/>
  <c r="W51" i="2"/>
  <c r="V51" i="2"/>
  <c r="V77" i="2" s="1"/>
  <c r="U51" i="2"/>
  <c r="T51" i="2"/>
  <c r="T77" i="2" s="1"/>
  <c r="S51" i="2"/>
  <c r="S77" i="2" s="1"/>
  <c r="S86" i="2" s="1"/>
  <c r="R51" i="2"/>
  <c r="R77" i="2" s="1"/>
  <c r="R86" i="2" s="1"/>
  <c r="Q51" i="2"/>
  <c r="Q77" i="2" s="1"/>
  <c r="P51" i="2"/>
  <c r="P77" i="2" s="1"/>
  <c r="P86" i="2" s="1"/>
  <c r="O51" i="2"/>
  <c r="O77" i="2" s="1"/>
  <c r="O86" i="2" s="1"/>
  <c r="N51" i="2"/>
  <c r="N77" i="2" s="1"/>
  <c r="N86" i="2" s="1"/>
  <c r="M51" i="2"/>
  <c r="M77" i="2" s="1"/>
  <c r="M86" i="2" s="1"/>
  <c r="L51" i="2"/>
  <c r="K51" i="2"/>
  <c r="K77" i="2" s="1"/>
  <c r="J51" i="2"/>
  <c r="J77" i="2" s="1"/>
  <c r="I51" i="2"/>
  <c r="I77" i="2" s="1"/>
  <c r="H51" i="2"/>
  <c r="H77" i="2" s="1"/>
  <c r="G51" i="2"/>
  <c r="G77" i="2" s="1"/>
  <c r="G86" i="2" s="1"/>
  <c r="F51" i="2"/>
  <c r="F77" i="2" s="1"/>
  <c r="E51" i="2"/>
  <c r="E77" i="2" s="1"/>
  <c r="CA49" i="2"/>
  <c r="BZ49" i="2"/>
  <c r="BY49" i="2"/>
  <c r="BX49" i="2"/>
  <c r="BW49" i="2"/>
  <c r="BV49" i="2"/>
  <c r="BV78" i="2" s="1"/>
  <c r="BU49" i="2"/>
  <c r="BU78" i="2" s="1"/>
  <c r="BT49" i="2"/>
  <c r="BS49" i="2"/>
  <c r="BR49" i="2"/>
  <c r="BQ49" i="2"/>
  <c r="BP49" i="2"/>
  <c r="BO49" i="2"/>
  <c r="BN49" i="2"/>
  <c r="BM49" i="2"/>
  <c r="BL49" i="2"/>
  <c r="BK49" i="2"/>
  <c r="BJ49" i="2"/>
  <c r="BJ78" i="2" s="1"/>
  <c r="BI49" i="2"/>
  <c r="BI78" i="2" s="1"/>
  <c r="BH49" i="2"/>
  <c r="BG49" i="2"/>
  <c r="BF49" i="2"/>
  <c r="BF78" i="2" s="1"/>
  <c r="BE49" i="2"/>
  <c r="BE78" i="2" s="1"/>
  <c r="BD49" i="2"/>
  <c r="BD78" i="2" s="1"/>
  <c r="BC49" i="2"/>
  <c r="BB49" i="2"/>
  <c r="BB78" i="2" s="1"/>
  <c r="BB88" i="2" s="1"/>
  <c r="BA49" i="2"/>
  <c r="AZ49" i="2"/>
  <c r="AY49" i="2"/>
  <c r="AX49" i="2"/>
  <c r="AX78" i="2" s="1"/>
  <c r="AW49" i="2"/>
  <c r="AW78" i="2" s="1"/>
  <c r="AV49" i="2"/>
  <c r="AU49" i="2"/>
  <c r="AT49" i="2"/>
  <c r="AS49" i="2"/>
  <c r="AR49" i="2"/>
  <c r="AR78" i="2" s="1"/>
  <c r="AQ49" i="2"/>
  <c r="AP49" i="2"/>
  <c r="AP78" i="2" s="1"/>
  <c r="AP88" i="2" s="1"/>
  <c r="AO49" i="2"/>
  <c r="AN49" i="2"/>
  <c r="AM49" i="2"/>
  <c r="AL49" i="2"/>
  <c r="AL78" i="2" s="1"/>
  <c r="AK49" i="2"/>
  <c r="AK78" i="2" s="1"/>
  <c r="AJ49" i="2"/>
  <c r="AI49" i="2"/>
  <c r="AH49" i="2"/>
  <c r="AG49" i="2"/>
  <c r="AG78" i="2" s="1"/>
  <c r="AF49" i="2"/>
  <c r="AE49" i="2"/>
  <c r="AD49" i="2"/>
  <c r="AC49" i="2"/>
  <c r="AB49" i="2"/>
  <c r="AA49" i="2"/>
  <c r="Z49" i="2"/>
  <c r="Z78" i="2" s="1"/>
  <c r="Y49" i="2"/>
  <c r="Y78" i="2" s="1"/>
  <c r="Y88" i="2" s="1"/>
  <c r="X49" i="2"/>
  <c r="W49" i="2"/>
  <c r="V49" i="2"/>
  <c r="U49" i="2"/>
  <c r="T49" i="2"/>
  <c r="S49" i="2"/>
  <c r="R49" i="2"/>
  <c r="Q49" i="2"/>
  <c r="P49" i="2"/>
  <c r="O49" i="2"/>
  <c r="N49" i="2"/>
  <c r="N78" i="2" s="1"/>
  <c r="M49" i="2"/>
  <c r="M78" i="2" s="1"/>
  <c r="L49" i="2"/>
  <c r="K49" i="2"/>
  <c r="J49" i="2"/>
  <c r="I49" i="2"/>
  <c r="H49" i="2"/>
  <c r="G49" i="2"/>
  <c r="F49" i="2"/>
  <c r="E49" i="2"/>
  <c r="CA48" i="2"/>
  <c r="CA76" i="2" s="1"/>
  <c r="CA85" i="2" s="1"/>
  <c r="BZ48" i="2"/>
  <c r="BY48" i="2"/>
  <c r="BY76" i="2" s="1"/>
  <c r="BY85" i="2" s="1"/>
  <c r="BX48" i="2"/>
  <c r="BX76" i="2" s="1"/>
  <c r="BW48" i="2"/>
  <c r="BW76" i="2" s="1"/>
  <c r="BV48" i="2"/>
  <c r="BU48" i="2"/>
  <c r="BU76" i="2" s="1"/>
  <c r="BU85" i="2" s="1"/>
  <c r="BT48" i="2"/>
  <c r="BS48" i="2"/>
  <c r="BR48" i="2"/>
  <c r="BQ48" i="2"/>
  <c r="BP48" i="2"/>
  <c r="BO48" i="2"/>
  <c r="BN48" i="2"/>
  <c r="BM48" i="2"/>
  <c r="BM76" i="2" s="1"/>
  <c r="BM85" i="2" s="1"/>
  <c r="BL48" i="2"/>
  <c r="BL76" i="2" s="1"/>
  <c r="BL85" i="2" s="1"/>
  <c r="BK48" i="2"/>
  <c r="BK76" i="2" s="1"/>
  <c r="BK85" i="2" s="1"/>
  <c r="BJ48" i="2"/>
  <c r="BI48" i="2"/>
  <c r="BI76" i="2" s="1"/>
  <c r="BI85" i="2" s="1"/>
  <c r="BH48" i="2"/>
  <c r="BG48" i="2"/>
  <c r="BF48" i="2"/>
  <c r="BE48" i="2"/>
  <c r="BD48" i="2"/>
  <c r="BC48" i="2"/>
  <c r="BB48" i="2"/>
  <c r="BA48" i="2"/>
  <c r="BA76" i="2" s="1"/>
  <c r="BA85" i="2" s="1"/>
  <c r="AZ48" i="2"/>
  <c r="AY48" i="2"/>
  <c r="AX48" i="2"/>
  <c r="AX76" i="2" s="1"/>
  <c r="AX85" i="2" s="1"/>
  <c r="AW48" i="2"/>
  <c r="AW76" i="2" s="1"/>
  <c r="AW85" i="2" s="1"/>
  <c r="AV48" i="2"/>
  <c r="AU48" i="2"/>
  <c r="AT48" i="2"/>
  <c r="AS48" i="2"/>
  <c r="AR48" i="2"/>
  <c r="AQ48" i="2"/>
  <c r="AP48" i="2"/>
  <c r="AO48" i="2"/>
  <c r="AO76" i="2" s="1"/>
  <c r="AO85" i="2" s="1"/>
  <c r="AN48" i="2"/>
  <c r="AN76" i="2" s="1"/>
  <c r="AN85" i="2" s="1"/>
  <c r="AM48" i="2"/>
  <c r="AM76" i="2" s="1"/>
  <c r="AM85" i="2" s="1"/>
  <c r="AL48" i="2"/>
  <c r="AK48" i="2"/>
  <c r="AK76" i="2" s="1"/>
  <c r="AK85" i="2" s="1"/>
  <c r="AJ48" i="2"/>
  <c r="AI48" i="2"/>
  <c r="AH48" i="2"/>
  <c r="AG48" i="2"/>
  <c r="AF48" i="2"/>
  <c r="AE48" i="2"/>
  <c r="AD48" i="2"/>
  <c r="AC48" i="2"/>
  <c r="AC76" i="2" s="1"/>
  <c r="AC85" i="2" s="1"/>
  <c r="AB48" i="2"/>
  <c r="AB76" i="2" s="1"/>
  <c r="AB85" i="2" s="1"/>
  <c r="AA48" i="2"/>
  <c r="AA76" i="2" s="1"/>
  <c r="AA85" i="2" s="1"/>
  <c r="Z48" i="2"/>
  <c r="Z76" i="2" s="1"/>
  <c r="Z85" i="2" s="1"/>
  <c r="Y48" i="2"/>
  <c r="Y76" i="2" s="1"/>
  <c r="Y85" i="2" s="1"/>
  <c r="X48" i="2"/>
  <c r="X76" i="2" s="1"/>
  <c r="X85" i="2" s="1"/>
  <c r="W48" i="2"/>
  <c r="V48" i="2"/>
  <c r="U48" i="2"/>
  <c r="T48" i="2"/>
  <c r="S48" i="2"/>
  <c r="S76" i="2" s="1"/>
  <c r="S85" i="2" s="1"/>
  <c r="R48" i="2"/>
  <c r="Q48" i="2"/>
  <c r="Q76" i="2" s="1"/>
  <c r="Q85" i="2" s="1"/>
  <c r="P48" i="2"/>
  <c r="P76" i="2" s="1"/>
  <c r="P85" i="2" s="1"/>
  <c r="O48" i="2"/>
  <c r="O76" i="2" s="1"/>
  <c r="O85" i="2" s="1"/>
  <c r="N48" i="2"/>
  <c r="M48" i="2"/>
  <c r="M76" i="2" s="1"/>
  <c r="M85" i="2" s="1"/>
  <c r="L48" i="2"/>
  <c r="K48" i="2"/>
  <c r="J48" i="2"/>
  <c r="I48" i="2"/>
  <c r="H48" i="2"/>
  <c r="G48" i="2"/>
  <c r="F48" i="2"/>
  <c r="E48" i="2"/>
  <c r="E76" i="2" s="1"/>
  <c r="E85" i="2" s="1"/>
  <c r="CA72" i="2"/>
  <c r="CA71" i="2"/>
  <c r="CA70" i="2"/>
  <c r="CA69" i="2"/>
  <c r="CA68" i="2"/>
  <c r="CA67" i="2"/>
  <c r="CA66" i="2"/>
  <c r="CA65" i="2"/>
  <c r="CA64" i="2"/>
  <c r="CA63" i="2"/>
  <c r="CA62" i="2"/>
  <c r="CA61" i="2"/>
  <c r="CA60" i="2"/>
  <c r="CA59" i="2"/>
  <c r="CA56" i="2"/>
  <c r="CA55" i="2"/>
  <c r="CA47" i="2"/>
  <c r="CA46" i="2"/>
  <c r="CA45" i="2"/>
  <c r="CA44" i="2"/>
  <c r="CA42" i="2"/>
  <c r="CA41" i="2"/>
  <c r="CA40" i="2"/>
  <c r="CA39" i="2"/>
  <c r="CA38" i="2"/>
  <c r="CA37" i="2"/>
  <c r="CA36" i="2"/>
  <c r="CA35" i="2"/>
  <c r="CA34" i="2"/>
  <c r="CA33" i="2"/>
  <c r="CA32" i="2"/>
  <c r="CA31" i="2"/>
  <c r="CA30" i="2"/>
  <c r="CA29" i="2"/>
  <c r="CA28" i="2"/>
  <c r="CA27" i="2"/>
  <c r="CA26" i="2"/>
  <c r="CA25" i="2"/>
  <c r="CA24" i="2"/>
  <c r="CA23" i="2"/>
  <c r="CA22" i="2"/>
  <c r="CA21" i="2"/>
  <c r="CA20" i="2"/>
  <c r="CA19" i="2"/>
  <c r="CA18" i="2"/>
  <c r="CA17" i="2"/>
  <c r="CA16" i="2"/>
  <c r="CA15" i="2"/>
  <c r="CA14" i="2"/>
  <c r="CA13" i="2"/>
  <c r="CA12" i="2"/>
  <c r="CA11" i="2"/>
  <c r="CA10" i="2"/>
  <c r="CA9" i="2"/>
  <c r="CA8" i="2"/>
  <c r="D52" i="2"/>
  <c r="D79" i="2" s="1"/>
  <c r="D51" i="2"/>
  <c r="D77" i="2" s="1"/>
  <c r="D86" i="2" s="1"/>
  <c r="D49" i="2"/>
  <c r="D76" i="2"/>
  <c r="D85" i="2" s="1"/>
  <c r="CA7" i="2"/>
  <c r="BZ7" i="2"/>
  <c r="BY7" i="2"/>
  <c r="BX7" i="2"/>
  <c r="BW7" i="2"/>
  <c r="BV7" i="2"/>
  <c r="BU7" i="2"/>
  <c r="BT7" i="2"/>
  <c r="CA6" i="2"/>
  <c r="BZ6" i="2"/>
  <c r="BY6" i="2"/>
  <c r="BX6" i="2"/>
  <c r="BW6" i="2"/>
  <c r="BV6" i="2"/>
  <c r="BU6" i="2"/>
  <c r="BT6" i="2"/>
  <c r="CA5" i="2"/>
  <c r="BZ5" i="2"/>
  <c r="BY5" i="2"/>
  <c r="BX5" i="2"/>
  <c r="BW5" i="2"/>
  <c r="BV5" i="2"/>
  <c r="BU5" i="2"/>
  <c r="BT5" i="2"/>
  <c r="CA4" i="2"/>
  <c r="BZ4" i="2"/>
  <c r="BY4" i="2"/>
  <c r="BX4" i="2"/>
  <c r="BW4" i="2"/>
  <c r="BV4" i="2"/>
  <c r="BU4" i="2"/>
  <c r="BT4" i="2"/>
  <c r="BS7" i="2"/>
  <c r="BR7" i="2"/>
  <c r="BQ7" i="2"/>
  <c r="BP7" i="2"/>
  <c r="BO7" i="2"/>
  <c r="BN7" i="2"/>
  <c r="BM7" i="2"/>
  <c r="BL7" i="2"/>
  <c r="BK7" i="2"/>
  <c r="BJ7" i="2"/>
  <c r="BI7" i="2"/>
  <c r="BH7" i="2"/>
  <c r="BG7" i="2"/>
  <c r="BF7" i="2"/>
  <c r="BE7" i="2"/>
  <c r="BD7" i="2"/>
  <c r="BC7" i="2"/>
  <c r="BB7" i="2"/>
  <c r="BA7" i="2"/>
  <c r="AZ7" i="2"/>
  <c r="AY7" i="2"/>
  <c r="AX7" i="2"/>
  <c r="AW7" i="2"/>
  <c r="AV7" i="2"/>
  <c r="AU7" i="2"/>
  <c r="AT7" i="2"/>
  <c r="BS6" i="2"/>
  <c r="BR6" i="2"/>
  <c r="BQ6" i="2"/>
  <c r="BP6" i="2"/>
  <c r="BO6" i="2"/>
  <c r="BN6" i="2"/>
  <c r="BM6" i="2"/>
  <c r="BL6" i="2"/>
  <c r="BK6" i="2"/>
  <c r="BJ6" i="2"/>
  <c r="BI6" i="2"/>
  <c r="BH6" i="2"/>
  <c r="BG6" i="2"/>
  <c r="BF6" i="2"/>
  <c r="BE6" i="2"/>
  <c r="BD6" i="2"/>
  <c r="BC6" i="2"/>
  <c r="BB6" i="2"/>
  <c r="BA6" i="2"/>
  <c r="AZ6" i="2"/>
  <c r="AY6" i="2"/>
  <c r="AX6" i="2"/>
  <c r="AW6" i="2"/>
  <c r="AV6" i="2"/>
  <c r="AU6" i="2"/>
  <c r="AT6" i="2"/>
  <c r="BS5" i="2"/>
  <c r="BR5" i="2"/>
  <c r="BQ5" i="2"/>
  <c r="BP5" i="2"/>
  <c r="BO5" i="2"/>
  <c r="BN5" i="2"/>
  <c r="BM5" i="2"/>
  <c r="BL5" i="2"/>
  <c r="BK5" i="2"/>
  <c r="BJ5" i="2"/>
  <c r="BI5" i="2"/>
  <c r="BH5" i="2"/>
  <c r="BG5" i="2"/>
  <c r="BF5" i="2"/>
  <c r="BE5" i="2"/>
  <c r="BD5" i="2"/>
  <c r="BC5" i="2"/>
  <c r="BB5" i="2"/>
  <c r="BA5" i="2"/>
  <c r="AZ5" i="2"/>
  <c r="AY5" i="2"/>
  <c r="AX5" i="2"/>
  <c r="AW5" i="2"/>
  <c r="AV5" i="2"/>
  <c r="AU5" i="2"/>
  <c r="AT5" i="2"/>
  <c r="BS4" i="2"/>
  <c r="BR4" i="2"/>
  <c r="BQ4" i="2"/>
  <c r="BP4" i="2"/>
  <c r="BO4" i="2"/>
  <c r="BN4" i="2"/>
  <c r="BM4" i="2"/>
  <c r="BL4" i="2"/>
  <c r="BK4" i="2"/>
  <c r="BJ4" i="2"/>
  <c r="BI4" i="2"/>
  <c r="BH4" i="2"/>
  <c r="BG4" i="2"/>
  <c r="BF4" i="2"/>
  <c r="BE4" i="2"/>
  <c r="BD4" i="2"/>
  <c r="BC4" i="2"/>
  <c r="BB4" i="2"/>
  <c r="BA4" i="2"/>
  <c r="AZ4" i="2"/>
  <c r="AY4" i="2"/>
  <c r="AX4" i="2"/>
  <c r="AW4" i="2"/>
  <c r="AV4" i="2"/>
  <c r="AU4" i="2"/>
  <c r="AT4" i="2"/>
  <c r="AS7" i="2"/>
  <c r="AR7" i="2"/>
  <c r="AQ7" i="2"/>
  <c r="AP7" i="2"/>
  <c r="AO7" i="2"/>
  <c r="AN7" i="2"/>
  <c r="AM7" i="2"/>
  <c r="AL7" i="2"/>
  <c r="AK7" i="2"/>
  <c r="AJ7" i="2"/>
  <c r="AI7" i="2"/>
  <c r="AH7" i="2"/>
  <c r="AG7" i="2"/>
  <c r="AF7" i="2"/>
  <c r="AE7" i="2"/>
  <c r="AD7" i="2"/>
  <c r="AC7" i="2"/>
  <c r="AB7" i="2"/>
  <c r="AA7" i="2"/>
  <c r="Z7" i="2"/>
  <c r="Y7" i="2"/>
  <c r="X7" i="2"/>
  <c r="W7" i="2"/>
  <c r="V7" i="2"/>
  <c r="U7" i="2"/>
  <c r="T7" i="2"/>
  <c r="S7" i="2"/>
  <c r="R7" i="2"/>
  <c r="Q7" i="2"/>
  <c r="P7" i="2"/>
  <c r="O7" i="2"/>
  <c r="N7" i="2"/>
  <c r="M7" i="2"/>
  <c r="L7" i="2"/>
  <c r="K7" i="2"/>
  <c r="J7" i="2"/>
  <c r="I7" i="2"/>
  <c r="H7" i="2"/>
  <c r="G7" i="2"/>
  <c r="F7" i="2"/>
  <c r="E7" i="2"/>
  <c r="AS6" i="2"/>
  <c r="AR6" i="2"/>
  <c r="AQ6" i="2"/>
  <c r="AP6" i="2"/>
  <c r="AO6" i="2"/>
  <c r="AN6" i="2"/>
  <c r="AM6" i="2"/>
  <c r="AL6" i="2"/>
  <c r="AK6" i="2"/>
  <c r="AJ6" i="2"/>
  <c r="AI6" i="2"/>
  <c r="AH6" i="2"/>
  <c r="AG6" i="2"/>
  <c r="AF6" i="2"/>
  <c r="AE6" i="2"/>
  <c r="AD6" i="2"/>
  <c r="AC6" i="2"/>
  <c r="AB6" i="2"/>
  <c r="AA6" i="2"/>
  <c r="Z6" i="2"/>
  <c r="Y6" i="2"/>
  <c r="X6" i="2"/>
  <c r="W6" i="2"/>
  <c r="V6" i="2"/>
  <c r="U6" i="2"/>
  <c r="T6" i="2"/>
  <c r="S6" i="2"/>
  <c r="R6" i="2"/>
  <c r="Q6" i="2"/>
  <c r="P6" i="2"/>
  <c r="O6" i="2"/>
  <c r="N6" i="2"/>
  <c r="M6" i="2"/>
  <c r="L6" i="2"/>
  <c r="K6" i="2"/>
  <c r="J6" i="2"/>
  <c r="I6" i="2"/>
  <c r="H6" i="2"/>
  <c r="G6" i="2"/>
  <c r="F6" i="2"/>
  <c r="E6" i="2"/>
  <c r="AS5" i="2"/>
  <c r="AR5" i="2"/>
  <c r="AQ5" i="2"/>
  <c r="AP5" i="2"/>
  <c r="AO5" i="2"/>
  <c r="AN5" i="2"/>
  <c r="AM5" i="2"/>
  <c r="AL5" i="2"/>
  <c r="AK5" i="2"/>
  <c r="AJ5" i="2"/>
  <c r="AI5" i="2"/>
  <c r="AH5" i="2"/>
  <c r="AG5" i="2"/>
  <c r="AF5" i="2"/>
  <c r="AE5" i="2"/>
  <c r="AD5" i="2"/>
  <c r="AC5" i="2"/>
  <c r="AB5" i="2"/>
  <c r="AA5" i="2"/>
  <c r="Z5" i="2"/>
  <c r="Y5" i="2"/>
  <c r="X5" i="2"/>
  <c r="W5" i="2"/>
  <c r="V5" i="2"/>
  <c r="U5" i="2"/>
  <c r="T5" i="2"/>
  <c r="S5" i="2"/>
  <c r="R5" i="2"/>
  <c r="Q5" i="2"/>
  <c r="P5" i="2"/>
  <c r="O5" i="2"/>
  <c r="N5" i="2"/>
  <c r="M5" i="2"/>
  <c r="L5" i="2"/>
  <c r="K5" i="2"/>
  <c r="J5" i="2"/>
  <c r="I5" i="2"/>
  <c r="H5" i="2"/>
  <c r="G5" i="2"/>
  <c r="F5" i="2"/>
  <c r="E5" i="2"/>
  <c r="AS4" i="2"/>
  <c r="AR4" i="2"/>
  <c r="AQ4" i="2"/>
  <c r="AP4" i="2"/>
  <c r="AO4" i="2"/>
  <c r="AN4" i="2"/>
  <c r="AM4" i="2"/>
  <c r="AL4" i="2"/>
  <c r="AK4" i="2"/>
  <c r="AJ4" i="2"/>
  <c r="AI4" i="2"/>
  <c r="AH4" i="2"/>
  <c r="AG4" i="2"/>
  <c r="AF4" i="2"/>
  <c r="AE4" i="2"/>
  <c r="AD4" i="2"/>
  <c r="AC4" i="2"/>
  <c r="AB4" i="2"/>
  <c r="AA4" i="2"/>
  <c r="Z4" i="2"/>
  <c r="Y4" i="2"/>
  <c r="X4" i="2"/>
  <c r="W4" i="2"/>
  <c r="V4" i="2"/>
  <c r="U4" i="2"/>
  <c r="T4" i="2"/>
  <c r="S4" i="2"/>
  <c r="R4" i="2"/>
  <c r="Q4" i="2"/>
  <c r="P4" i="2"/>
  <c r="O4" i="2"/>
  <c r="N4" i="2"/>
  <c r="M4" i="2"/>
  <c r="L4" i="2"/>
  <c r="K4" i="2"/>
  <c r="J4" i="2"/>
  <c r="I4" i="2"/>
  <c r="H4" i="2"/>
  <c r="G4" i="2"/>
  <c r="F4" i="2"/>
  <c r="E4" i="2"/>
  <c r="D6" i="2"/>
  <c r="D5" i="2"/>
  <c r="D4" i="2"/>
  <c r="D7" i="2"/>
  <c r="BF88" i="2" l="1"/>
  <c r="BG86" i="2"/>
  <c r="H86" i="2"/>
  <c r="T86" i="2"/>
  <c r="AF86" i="2"/>
  <c r="AR86" i="2"/>
  <c r="BD86" i="2"/>
  <c r="BP86" i="2"/>
  <c r="BW85" i="2"/>
  <c r="BW82" i="2"/>
  <c r="I86" i="2"/>
  <c r="AG83" i="2"/>
  <c r="AG86" i="2"/>
  <c r="AS86" i="2"/>
  <c r="BE86" i="2"/>
  <c r="BQ86" i="2"/>
  <c r="BX85" i="2"/>
  <c r="J86" i="2"/>
  <c r="V86" i="2"/>
  <c r="AH86" i="2"/>
  <c r="AT86" i="2"/>
  <c r="BF86" i="2"/>
  <c r="BR86" i="2"/>
  <c r="H88" i="2"/>
  <c r="D89" i="2"/>
  <c r="K86" i="2"/>
  <c r="AI86" i="2"/>
  <c r="AU86" i="2"/>
  <c r="BS86" i="2"/>
  <c r="AR88" i="2"/>
  <c r="AG88" i="2"/>
  <c r="AD83" i="2"/>
  <c r="AD86" i="2"/>
  <c r="BB83" i="2"/>
  <c r="BB86" i="2"/>
  <c r="BZ83" i="2"/>
  <c r="BZ86" i="2"/>
  <c r="BR89" i="2"/>
  <c r="BD88" i="2"/>
  <c r="BE88" i="2"/>
  <c r="F83" i="2"/>
  <c r="F86" i="2"/>
  <c r="BU83" i="2"/>
  <c r="BU86" i="2"/>
  <c r="BP88" i="2"/>
  <c r="AT84" i="2"/>
  <c r="V84" i="2"/>
  <c r="W84" i="2"/>
  <c r="BC76" i="2"/>
  <c r="BC85" i="2" s="1"/>
  <c r="BZ78" i="2"/>
  <c r="BZ88" i="2" s="1"/>
  <c r="X84" i="2"/>
  <c r="N88" i="2"/>
  <c r="Z88" i="2"/>
  <c r="AL88" i="2"/>
  <c r="AX88" i="2"/>
  <c r="BJ88" i="2"/>
  <c r="BV88" i="2"/>
  <c r="AF78" i="2"/>
  <c r="AF88" i="2" s="1"/>
  <c r="AA84" i="2"/>
  <c r="U86" i="2"/>
  <c r="F76" i="2"/>
  <c r="F85" i="2" s="1"/>
  <c r="R76" i="2"/>
  <c r="AD76" i="2"/>
  <c r="AD85" i="2" s="1"/>
  <c r="AP76" i="2"/>
  <c r="BB76" i="2"/>
  <c r="BN76" i="2"/>
  <c r="BN85" i="2" s="1"/>
  <c r="BZ76" i="2"/>
  <c r="O78" i="2"/>
  <c r="O88" i="2" s="1"/>
  <c r="AA78" i="2"/>
  <c r="AA88" i="2" s="1"/>
  <c r="AM78" i="2"/>
  <c r="AM88" i="2" s="1"/>
  <c r="AY78" i="2"/>
  <c r="AY88" i="2" s="1"/>
  <c r="BK78" i="2"/>
  <c r="BK88" i="2" s="1"/>
  <c r="BW78" i="2"/>
  <c r="BW88" i="2" s="1"/>
  <c r="L76" i="2"/>
  <c r="L85" i="2" s="1"/>
  <c r="AJ76" i="2"/>
  <c r="AJ85" i="2" s="1"/>
  <c r="C84" i="2"/>
  <c r="BG84" i="2"/>
  <c r="G76" i="2"/>
  <c r="G85" i="2" s="1"/>
  <c r="AE76" i="2"/>
  <c r="AE85" i="2" s="1"/>
  <c r="AQ76" i="2"/>
  <c r="AQ85" i="2" s="1"/>
  <c r="BO76" i="2"/>
  <c r="BO85" i="2" s="1"/>
  <c r="P78" i="2"/>
  <c r="P88" i="2" s="1"/>
  <c r="AB78" i="2"/>
  <c r="AB88" i="2" s="1"/>
  <c r="AN78" i="2"/>
  <c r="AN88" i="2" s="1"/>
  <c r="AZ78" i="2"/>
  <c r="AZ88" i="2" s="1"/>
  <c r="BL78" i="2"/>
  <c r="BL88" i="2" s="1"/>
  <c r="BX78" i="2"/>
  <c r="BX88" i="2" s="1"/>
  <c r="J78" i="2"/>
  <c r="J88" i="2" s="1"/>
  <c r="V78" i="2"/>
  <c r="V88" i="2" s="1"/>
  <c r="AT78" i="2"/>
  <c r="AT88" i="2" s="1"/>
  <c r="BR78" i="2"/>
  <c r="BR88" i="2" s="1"/>
  <c r="J79" i="2"/>
  <c r="J89" i="2" s="1"/>
  <c r="AI84" i="2"/>
  <c r="BH84" i="2"/>
  <c r="H76" i="2"/>
  <c r="T76" i="2"/>
  <c r="T85" i="2" s="1"/>
  <c r="AF76" i="2"/>
  <c r="AF85" i="2" s="1"/>
  <c r="AR76" i="2"/>
  <c r="BD76" i="2"/>
  <c r="BD85" i="2" s="1"/>
  <c r="BP76" i="2"/>
  <c r="E78" i="2"/>
  <c r="E88" i="2" s="1"/>
  <c r="Q78" i="2"/>
  <c r="Q88" i="2" s="1"/>
  <c r="AC78" i="2"/>
  <c r="AC88" i="2" s="1"/>
  <c r="AO78" i="2"/>
  <c r="AO88" i="2" s="1"/>
  <c r="BA78" i="2"/>
  <c r="BA88" i="2" s="1"/>
  <c r="BM78" i="2"/>
  <c r="BM88" i="2" s="1"/>
  <c r="BY78" i="2"/>
  <c r="BY88" i="2" s="1"/>
  <c r="Y87" i="2"/>
  <c r="AZ87" i="2"/>
  <c r="K84" i="2"/>
  <c r="AJ84" i="2"/>
  <c r="BJ84" i="2"/>
  <c r="AZ85" i="2"/>
  <c r="I76" i="2"/>
  <c r="I85" i="2" s="1"/>
  <c r="U76" i="2"/>
  <c r="U85" i="2" s="1"/>
  <c r="AG76" i="2"/>
  <c r="AG85" i="2" s="1"/>
  <c r="AS76" i="2"/>
  <c r="AS85" i="2" s="1"/>
  <c r="BE76" i="2"/>
  <c r="BE85" i="2" s="1"/>
  <c r="BQ76" i="2"/>
  <c r="BQ85" i="2" s="1"/>
  <c r="BK83" i="2"/>
  <c r="BJ83" i="2"/>
  <c r="L84" i="2"/>
  <c r="BK84" i="2"/>
  <c r="Y86" i="2"/>
  <c r="AW86" i="2"/>
  <c r="Z86" i="2"/>
  <c r="AX86" i="2"/>
  <c r="K76" i="2"/>
  <c r="K85" i="2" s="1"/>
  <c r="W76" i="2"/>
  <c r="W85" i="2" s="1"/>
  <c r="AI76" i="2"/>
  <c r="AI85" i="2" s="1"/>
  <c r="AU76" i="2"/>
  <c r="AU85" i="2" s="1"/>
  <c r="BG76" i="2"/>
  <c r="BG85" i="2" s="1"/>
  <c r="BS76" i="2"/>
  <c r="BS85" i="2" s="1"/>
  <c r="T78" i="2"/>
  <c r="T88" i="2" s="1"/>
  <c r="AB87" i="2"/>
  <c r="BK86" i="2"/>
  <c r="AB82" i="2"/>
  <c r="AN82" i="2"/>
  <c r="BL82" i="2"/>
  <c r="X83" i="2"/>
  <c r="AV83" i="2"/>
  <c r="BH83" i="2"/>
  <c r="BT83" i="2"/>
  <c r="M83" i="2"/>
  <c r="AK83" i="2"/>
  <c r="BI83" i="2"/>
  <c r="AH83" i="2"/>
  <c r="BF83" i="2"/>
  <c r="E82" i="2"/>
  <c r="Q82" i="2"/>
  <c r="AC82" i="2"/>
  <c r="BY82" i="2"/>
  <c r="D83" i="2"/>
  <c r="BH76" i="2"/>
  <c r="BH85" i="2" s="1"/>
  <c r="AH78" i="2"/>
  <c r="AH88" i="2" s="1"/>
  <c r="AT79" i="2"/>
  <c r="AT89" i="2" s="1"/>
  <c r="J83" i="2"/>
  <c r="AL83" i="2"/>
  <c r="BQ83" i="2"/>
  <c r="BB84" i="2"/>
  <c r="BB87" i="2"/>
  <c r="D78" i="2"/>
  <c r="D88" i="2" s="1"/>
  <c r="BJ76" i="2"/>
  <c r="BJ85" i="2" s="1"/>
  <c r="L77" i="2"/>
  <c r="L86" i="2" s="1"/>
  <c r="AJ77" i="2"/>
  <c r="AJ86" i="2" s="1"/>
  <c r="I78" i="2"/>
  <c r="I88" i="2" s="1"/>
  <c r="AD82" i="2"/>
  <c r="BI82" i="2"/>
  <c r="AQ83" i="2"/>
  <c r="BR83" i="2"/>
  <c r="BN84" i="2"/>
  <c r="BN87" i="2"/>
  <c r="BQ78" i="2"/>
  <c r="BQ88" i="2" s="1"/>
  <c r="V79" i="2"/>
  <c r="V89" i="2" s="1"/>
  <c r="N83" i="2"/>
  <c r="AS83" i="2"/>
  <c r="I87" i="2"/>
  <c r="I84" i="2"/>
  <c r="U87" i="2"/>
  <c r="U84" i="2"/>
  <c r="AG87" i="2"/>
  <c r="AG84" i="2"/>
  <c r="AS87" i="2"/>
  <c r="AS84" i="2"/>
  <c r="BE87" i="2"/>
  <c r="BE84" i="2"/>
  <c r="BQ87" i="2"/>
  <c r="BQ84" i="2"/>
  <c r="BD87" i="2"/>
  <c r="J84" i="2"/>
  <c r="AH84" i="2"/>
  <c r="BF84" i="2"/>
  <c r="D82" i="2"/>
  <c r="H83" i="2"/>
  <c r="AR83" i="2"/>
  <c r="AZ83" i="2"/>
  <c r="AX82" i="2"/>
  <c r="Y82" i="2"/>
  <c r="AY82" i="2"/>
  <c r="AP84" i="2"/>
  <c r="AP87" i="2"/>
  <c r="T82" i="2"/>
  <c r="BD82" i="2"/>
  <c r="K79" i="2"/>
  <c r="K89" i="2" s="1"/>
  <c r="K78" i="2"/>
  <c r="K88" i="2" s="1"/>
  <c r="W79" i="2"/>
  <c r="W89" i="2" s="1"/>
  <c r="W78" i="2"/>
  <c r="W88" i="2" s="1"/>
  <c r="AI79" i="2"/>
  <c r="AI89" i="2" s="1"/>
  <c r="AI78" i="2"/>
  <c r="AI88" i="2" s="1"/>
  <c r="AU79" i="2"/>
  <c r="AU89" i="2" s="1"/>
  <c r="AU78" i="2"/>
  <c r="AU88" i="2" s="1"/>
  <c r="BG79" i="2"/>
  <c r="BG89" i="2" s="1"/>
  <c r="BG78" i="2"/>
  <c r="BG88" i="2" s="1"/>
  <c r="BS79" i="2"/>
  <c r="BS89" i="2" s="1"/>
  <c r="BS78" i="2"/>
  <c r="BS88" i="2" s="1"/>
  <c r="AL76" i="2"/>
  <c r="AL85" i="2" s="1"/>
  <c r="P83" i="2"/>
  <c r="AN83" i="2"/>
  <c r="BL83" i="2"/>
  <c r="F82" i="2"/>
  <c r="AK82" i="2"/>
  <c r="BK82" i="2"/>
  <c r="S83" i="2"/>
  <c r="AT83" i="2"/>
  <c r="BV83" i="2"/>
  <c r="BR87" i="2"/>
  <c r="BR84" i="2"/>
  <c r="BO83" i="2"/>
  <c r="F84" i="2"/>
  <c r="F87" i="2"/>
  <c r="BQ82" i="2"/>
  <c r="O83" i="2"/>
  <c r="AA83" i="2"/>
  <c r="AM83" i="2"/>
  <c r="AY83" i="2"/>
  <c r="BW83" i="2"/>
  <c r="R83" i="2"/>
  <c r="AP83" i="2"/>
  <c r="BN83" i="2"/>
  <c r="AS78" i="2"/>
  <c r="AS88" i="2" s="1"/>
  <c r="CA83" i="2"/>
  <c r="H87" i="2"/>
  <c r="AF87" i="2"/>
  <c r="Z82" i="2"/>
  <c r="J76" i="2"/>
  <c r="J85" i="2" s="1"/>
  <c r="V76" i="2"/>
  <c r="V85" i="2" s="1"/>
  <c r="AH76" i="2"/>
  <c r="AH85" i="2" s="1"/>
  <c r="AT76" i="2"/>
  <c r="AT85" i="2" s="1"/>
  <c r="BF76" i="2"/>
  <c r="BF85" i="2" s="1"/>
  <c r="BR76" i="2"/>
  <c r="BR85" i="2" s="1"/>
  <c r="G78" i="2"/>
  <c r="G88" i="2" s="1"/>
  <c r="S78" i="2"/>
  <c r="S88" i="2" s="1"/>
  <c r="AE78" i="2"/>
  <c r="AE88" i="2" s="1"/>
  <c r="AQ78" i="2"/>
  <c r="AQ88" i="2" s="1"/>
  <c r="BC78" i="2"/>
  <c r="BC88" i="2" s="1"/>
  <c r="BO78" i="2"/>
  <c r="BO88" i="2" s="1"/>
  <c r="CA78" i="2"/>
  <c r="CA88" i="2" s="1"/>
  <c r="N76" i="2"/>
  <c r="N85" i="2" s="1"/>
  <c r="BT76" i="2"/>
  <c r="BT85" i="2" s="1"/>
  <c r="M82" i="2"/>
  <c r="AE83" i="2"/>
  <c r="T83" i="2"/>
  <c r="BD83" i="2"/>
  <c r="BX83" i="2"/>
  <c r="I83" i="2"/>
  <c r="R84" i="2"/>
  <c r="R87" i="2"/>
  <c r="E83" i="2"/>
  <c r="Q83" i="2"/>
  <c r="AC83" i="2"/>
  <c r="AO83" i="2"/>
  <c r="BA83" i="2"/>
  <c r="BM83" i="2"/>
  <c r="BY83" i="2"/>
  <c r="BV76" i="2"/>
  <c r="BV85" i="2" s="1"/>
  <c r="U78" i="2"/>
  <c r="U88" i="2" s="1"/>
  <c r="BU82" i="2"/>
  <c r="BC83" i="2"/>
  <c r="AK84" i="2"/>
  <c r="AK87" i="2"/>
  <c r="AW84" i="2"/>
  <c r="AW87" i="2"/>
  <c r="BI84" i="2"/>
  <c r="BI87" i="2"/>
  <c r="BU84" i="2"/>
  <c r="BU87" i="2"/>
  <c r="AW82" i="2"/>
  <c r="AF83" i="2"/>
  <c r="BP83" i="2"/>
  <c r="AB83" i="2"/>
  <c r="G83" i="2"/>
  <c r="AD84" i="2"/>
  <c r="AD87" i="2"/>
  <c r="BZ84" i="2"/>
  <c r="BZ87" i="2"/>
  <c r="AV76" i="2"/>
  <c r="AV85" i="2" s="1"/>
  <c r="BE83" i="2"/>
  <c r="BP87" i="2"/>
  <c r="BS84" i="2"/>
  <c r="BT84" i="2"/>
  <c r="L78" i="2"/>
  <c r="L88" i="2" s="1"/>
  <c r="X78" i="2"/>
  <c r="X88" i="2" s="1"/>
  <c r="AJ78" i="2"/>
  <c r="AJ88" i="2" s="1"/>
  <c r="AV78" i="2"/>
  <c r="AV88" i="2" s="1"/>
  <c r="BH78" i="2"/>
  <c r="BH88" i="2" s="1"/>
  <c r="BT78" i="2"/>
  <c r="BT88" i="2" s="1"/>
  <c r="G87" i="2"/>
  <c r="S87" i="2"/>
  <c r="AE87" i="2"/>
  <c r="AQ87" i="2"/>
  <c r="BC87" i="2"/>
  <c r="BO87" i="2"/>
  <c r="CA87" i="2"/>
  <c r="BZ85" i="2" l="1"/>
  <c r="BZ82" i="2"/>
  <c r="AF82" i="2"/>
  <c r="BX82" i="2"/>
  <c r="L82" i="2"/>
  <c r="CA82" i="2"/>
  <c r="P82" i="2"/>
  <c r="BP82" i="2"/>
  <c r="BP85" i="2"/>
  <c r="AP82" i="2"/>
  <c r="AP85" i="2"/>
  <c r="AR82" i="2"/>
  <c r="AR85" i="2"/>
  <c r="O82" i="2"/>
  <c r="BN82" i="2"/>
  <c r="G82" i="2"/>
  <c r="V83" i="2"/>
  <c r="BB85" i="2"/>
  <c r="BB82" i="2"/>
  <c r="AG82" i="2"/>
  <c r="U82" i="2"/>
  <c r="R85" i="2"/>
  <c r="R82" i="2"/>
  <c r="AA82" i="2"/>
  <c r="BE82" i="2"/>
  <c r="I82" i="2"/>
  <c r="BM82" i="2"/>
  <c r="AM82" i="2"/>
  <c r="BA82" i="2"/>
  <c r="AO82" i="2"/>
  <c r="H82" i="2"/>
  <c r="H85" i="2"/>
  <c r="AZ82" i="2"/>
  <c r="BV82" i="2"/>
  <c r="BG82" i="2"/>
  <c r="BR82" i="2"/>
  <c r="BG83" i="2"/>
  <c r="K83" i="2"/>
  <c r="BH82" i="2"/>
  <c r="K82" i="2"/>
  <c r="BJ82" i="2"/>
  <c r="BS83" i="2"/>
  <c r="N82" i="2"/>
  <c r="BF82" i="2"/>
  <c r="BS82" i="2"/>
  <c r="BO82" i="2"/>
  <c r="AV82" i="2"/>
  <c r="AL82" i="2"/>
  <c r="AT82" i="2"/>
  <c r="AJ82" i="2"/>
  <c r="BT82" i="2"/>
  <c r="AQ82" i="2"/>
  <c r="X82" i="2"/>
  <c r="V82" i="2"/>
  <c r="AI83" i="2"/>
  <c r="AJ83" i="2"/>
  <c r="AU82" i="2"/>
  <c r="AU83" i="2"/>
  <c r="AH82" i="2"/>
  <c r="BC82" i="2"/>
  <c r="AI82" i="2"/>
  <c r="J82" i="2"/>
  <c r="AS82" i="2"/>
  <c r="W82" i="2"/>
  <c r="S82" i="2"/>
  <c r="L83" i="2"/>
  <c r="AE82" i="2"/>
  <c r="W83" i="2"/>
</calcChain>
</file>

<file path=xl/sharedStrings.xml><?xml version="1.0" encoding="utf-8"?>
<sst xmlns="http://schemas.openxmlformats.org/spreadsheetml/2006/main" count="632" uniqueCount="82">
  <si>
    <t>Table 1.2. U.S. Net International Investment Position at the End of the Period, Expanded Detail</t>
  </si>
  <si>
    <t>Release Date: March 26, 2025 - Next Release Date: June 30, 2025</t>
  </si>
  <si>
    <t>Line</t>
  </si>
  <si>
    <t>Type of investment</t>
  </si>
  <si>
    <t>Not seasonally adjusted</t>
  </si>
  <si>
    <t>Q1</t>
  </si>
  <si>
    <t>Q2</t>
  </si>
  <si>
    <t>Q3</t>
  </si>
  <si>
    <t>Q4</t>
  </si>
  <si>
    <t>U.S. net international investment position (line 4 less line 36)</t>
  </si>
  <si>
    <t xml:space="preserve">    Net international investment position excluding financial derivatives (line 5 less line 37)</t>
  </si>
  <si>
    <t xml:space="preserve">    Financial derivatives other than reserves, net (line 6 less line 38)</t>
  </si>
  <si>
    <t xml:space="preserve">  U.S. assets</t>
  </si>
  <si>
    <t xml:space="preserve">      Assets excluding financial derivatives (sum of lines 7, 10, 21, and 27)</t>
  </si>
  <si>
    <t xml:space="preserve">      Financial derivatives other than reserves, gross positive fair value (line 15)</t>
  </si>
  <si>
    <t xml:space="preserve">    By functional category:</t>
  </si>
  <si>
    <t xml:space="preserve">      Direct investment at market value</t>
  </si>
  <si>
    <t xml:space="preserve">        Equity</t>
  </si>
  <si>
    <t xml:space="preserve">        Debt instruments</t>
  </si>
  <si>
    <t xml:space="preserve">      Portfolio investment</t>
  </si>
  <si>
    <t xml:space="preserve">        Equity and investment fund shares</t>
  </si>
  <si>
    <t xml:space="preserve">        Debt securities</t>
  </si>
  <si>
    <t xml:space="preserve">          Short term</t>
  </si>
  <si>
    <t xml:space="preserve">          Long term</t>
  </si>
  <si>
    <t xml:space="preserve">      Financial derivatives other than reserves, gross positive fair value</t>
  </si>
  <si>
    <t xml:space="preserve">        Over-the-counter contracts</t>
  </si>
  <si>
    <t xml:space="preserve">          Single-currency interest rate contracts</t>
  </si>
  <si>
    <t xml:space="preserve">          Foreign exchange contracts</t>
  </si>
  <si>
    <t xml:space="preserve">          Other contracts</t>
  </si>
  <si>
    <t xml:space="preserve">        Exchange-traded contracts</t>
  </si>
  <si>
    <t xml:space="preserve">      Other investment</t>
  </si>
  <si>
    <t xml:space="preserve">        Other equity</t>
  </si>
  <si>
    <t xml:space="preserve">        Currency and deposits</t>
  </si>
  <si>
    <t xml:space="preserve">        Loans</t>
  </si>
  <si>
    <t xml:space="preserve">        Insurance technical reserves</t>
  </si>
  <si>
    <t>n.a.</t>
  </si>
  <si>
    <t xml:space="preserve">        Trade credit and advances</t>
  </si>
  <si>
    <t xml:space="preserve">      Reserve assets</t>
  </si>
  <si>
    <t xml:space="preserve">        Monetary gold</t>
  </si>
  <si>
    <t xml:space="preserve">        Special drawing rights</t>
  </si>
  <si>
    <t xml:space="preserve">        Reserve position in the International Monetary Fund</t>
  </si>
  <si>
    <t xml:space="preserve">        Other reserve assets</t>
  </si>
  <si>
    <t xml:space="preserve">          Currency and deposits</t>
  </si>
  <si>
    <t xml:space="preserve">          Securities</t>
  </si>
  <si>
    <t xml:space="preserve">          Financial derivatives</t>
  </si>
  <si>
    <t>.....</t>
  </si>
  <si>
    <t xml:space="preserve">          Other claims</t>
  </si>
  <si>
    <t xml:space="preserve">  U.S. liabilities</t>
  </si>
  <si>
    <t xml:space="preserve">      Liabilities excluding financial derivatives (sum of lines 39, 42, and 57)</t>
  </si>
  <si>
    <t xml:space="preserve">      Financial derivatives other than reserves, gross negative fair value (line 51)</t>
  </si>
  <si>
    <t xml:space="preserve">            Treasury bills and certificates</t>
  </si>
  <si>
    <t xml:space="preserve">            Other short-term securities</t>
  </si>
  <si>
    <t xml:space="preserve">            Treasury bonds and notes</t>
  </si>
  <si>
    <t xml:space="preserve">            Other long-term securities</t>
  </si>
  <si>
    <t xml:space="preserve">      Financial derivatives other than reserves, gross negative fair value</t>
  </si>
  <si>
    <t xml:space="preserve">        Special drawing rights allocations</t>
  </si>
  <si>
    <t>Legend/Footnotes</t>
  </si>
  <si>
    <t>n.a. Not available</t>
  </si>
  <si>
    <t>..... Not applicable</t>
  </si>
  <si>
    <t>Equity (portfolio)</t>
  </si>
  <si>
    <t>Equity (total)</t>
  </si>
  <si>
    <t>Debt (total)</t>
  </si>
  <si>
    <t>Debt (portfolio)</t>
  </si>
  <si>
    <t>Equity/Debt (total)</t>
  </si>
  <si>
    <t>Equity/Debt (portfolio)</t>
  </si>
  <si>
    <t>Equity (portfolio)/Net IIP</t>
  </si>
  <si>
    <t>Debt (portfolio)/Net IIP</t>
  </si>
  <si>
    <t>Net International Investment Position</t>
  </si>
  <si>
    <t>Date</t>
  </si>
  <si>
    <t>Total liabilities</t>
  </si>
  <si>
    <t>Equity (total)/Total liabilities</t>
  </si>
  <si>
    <t>Debt (Treasuries)</t>
  </si>
  <si>
    <t>Total Equity / Total Debt</t>
  </si>
  <si>
    <t>Debt (total)/Total Liabilities</t>
  </si>
  <si>
    <t>Nominal GDP</t>
  </si>
  <si>
    <t>IIP as % of GDP</t>
  </si>
  <si>
    <t>Liabilities as % of GDP</t>
  </si>
  <si>
    <t>Equity Liabs (total) as % of GDP</t>
  </si>
  <si>
    <t>Equity Liabs (portfolio) as % of GDP</t>
  </si>
  <si>
    <t>Debt Liabs (total) as % of GDP</t>
  </si>
  <si>
    <t>Debt Liabs (portfolio) as % of GDP</t>
  </si>
  <si>
    <t>Treasury Liabs as % of GDP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</si>
</sst>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5" formatCode="_(* #,##0_);_(* \(#,##0\);_(* &quot;-&quot;??_);_(@_)"/>
  </numFmts>
  <fonts count="20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b/>
      <sz val="12"/>
      <color theme="1"/>
      <name val="Aptos Narrow"/>
      <scheme val="minor"/>
    </font>
    <font>
      <sz val="12"/>
      <color theme="1"/>
      <name val="Aptos Narrow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17" fontId="0" fillId="0" borderId="0" xfId="0" applyNumberFormat="1"/>
    <xf numFmtId="165" fontId="0" fillId="0" borderId="0" xfId="1" applyNumberFormat="1" applyFont="1"/>
    <xf numFmtId="0" fontId="18" fillId="0" borderId="0" xfId="0" applyFont="1"/>
    <xf numFmtId="0" fontId="19" fillId="0" borderId="0" xfId="0" applyFont="1"/>
    <xf numFmtId="9" fontId="0" fillId="0" borderId="0" xfId="2" applyFont="1"/>
  </cellXfs>
  <cellStyles count="44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Comma" xfId="1" builtinId="3"/>
    <cellStyle name="Explanatory Text" xfId="18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te" xfId="17" builtinId="10" customBuiltin="1"/>
    <cellStyle name="Output" xfId="12" builtinId="21" customBuiltin="1"/>
    <cellStyle name="Per cent" xfId="2" builtinId="5"/>
    <cellStyle name="Title" xfId="3" builtinId="15" customBuiltin="1"/>
    <cellStyle name="Total" xfId="19" builtinId="25" customBuiltin="1"/>
    <cellStyle name="Warning Text" xfId="16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Equity/Debt ratio</a:t>
            </a:r>
            <a:r>
              <a:rPr lang="en-GB" baseline="0"/>
              <a:t> in Liabilities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Sheet1!$C$82</c:f>
              <c:strCache>
                <c:ptCount val="1"/>
                <c:pt idx="0">
                  <c:v>Equity/Debt (total)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Sheet1!$D$81:$CA$81</c:f>
              <c:numCache>
                <c:formatCode>mmm\-yy</c:formatCode>
                <c:ptCount val="76"/>
                <c:pt idx="0">
                  <c:v>38777</c:v>
                </c:pt>
                <c:pt idx="1">
                  <c:v>38869</c:v>
                </c:pt>
                <c:pt idx="2">
                  <c:v>38961</c:v>
                </c:pt>
                <c:pt idx="3">
                  <c:v>39052</c:v>
                </c:pt>
                <c:pt idx="4">
                  <c:v>39142</c:v>
                </c:pt>
                <c:pt idx="5">
                  <c:v>39234</c:v>
                </c:pt>
                <c:pt idx="6">
                  <c:v>39326</c:v>
                </c:pt>
                <c:pt idx="7">
                  <c:v>39417</c:v>
                </c:pt>
                <c:pt idx="8">
                  <c:v>39508</c:v>
                </c:pt>
                <c:pt idx="9">
                  <c:v>39600</c:v>
                </c:pt>
                <c:pt idx="10">
                  <c:v>39692</c:v>
                </c:pt>
                <c:pt idx="11">
                  <c:v>39783</c:v>
                </c:pt>
                <c:pt idx="12">
                  <c:v>39873</c:v>
                </c:pt>
                <c:pt idx="13">
                  <c:v>39965</c:v>
                </c:pt>
                <c:pt idx="14">
                  <c:v>40057</c:v>
                </c:pt>
                <c:pt idx="15">
                  <c:v>40148</c:v>
                </c:pt>
                <c:pt idx="16">
                  <c:v>40238</c:v>
                </c:pt>
                <c:pt idx="17">
                  <c:v>40330</c:v>
                </c:pt>
                <c:pt idx="18">
                  <c:v>40422</c:v>
                </c:pt>
                <c:pt idx="19">
                  <c:v>40513</c:v>
                </c:pt>
                <c:pt idx="20">
                  <c:v>40603</c:v>
                </c:pt>
                <c:pt idx="21">
                  <c:v>40695</c:v>
                </c:pt>
                <c:pt idx="22">
                  <c:v>40787</c:v>
                </c:pt>
                <c:pt idx="23">
                  <c:v>40878</c:v>
                </c:pt>
                <c:pt idx="24">
                  <c:v>40969</c:v>
                </c:pt>
                <c:pt idx="25">
                  <c:v>41061</c:v>
                </c:pt>
                <c:pt idx="26">
                  <c:v>41153</c:v>
                </c:pt>
                <c:pt idx="27">
                  <c:v>41244</c:v>
                </c:pt>
                <c:pt idx="28">
                  <c:v>41334</c:v>
                </c:pt>
                <c:pt idx="29">
                  <c:v>41426</c:v>
                </c:pt>
                <c:pt idx="30">
                  <c:v>41518</c:v>
                </c:pt>
                <c:pt idx="31">
                  <c:v>41609</c:v>
                </c:pt>
                <c:pt idx="32">
                  <c:v>41699</c:v>
                </c:pt>
                <c:pt idx="33">
                  <c:v>41791</c:v>
                </c:pt>
                <c:pt idx="34">
                  <c:v>41883</c:v>
                </c:pt>
                <c:pt idx="35">
                  <c:v>41974</c:v>
                </c:pt>
                <c:pt idx="36">
                  <c:v>42064</c:v>
                </c:pt>
                <c:pt idx="37">
                  <c:v>42156</c:v>
                </c:pt>
                <c:pt idx="38">
                  <c:v>42248</c:v>
                </c:pt>
                <c:pt idx="39">
                  <c:v>42339</c:v>
                </c:pt>
                <c:pt idx="40">
                  <c:v>42430</c:v>
                </c:pt>
                <c:pt idx="41">
                  <c:v>42522</c:v>
                </c:pt>
                <c:pt idx="42">
                  <c:v>42614</c:v>
                </c:pt>
                <c:pt idx="43">
                  <c:v>42705</c:v>
                </c:pt>
                <c:pt idx="44">
                  <c:v>42795</c:v>
                </c:pt>
                <c:pt idx="45">
                  <c:v>42887</c:v>
                </c:pt>
                <c:pt idx="46">
                  <c:v>42979</c:v>
                </c:pt>
                <c:pt idx="47">
                  <c:v>43070</c:v>
                </c:pt>
                <c:pt idx="48">
                  <c:v>43160</c:v>
                </c:pt>
                <c:pt idx="49">
                  <c:v>43252</c:v>
                </c:pt>
                <c:pt idx="50">
                  <c:v>43344</c:v>
                </c:pt>
                <c:pt idx="51">
                  <c:v>43435</c:v>
                </c:pt>
                <c:pt idx="52">
                  <c:v>43525</c:v>
                </c:pt>
                <c:pt idx="53">
                  <c:v>43617</c:v>
                </c:pt>
                <c:pt idx="54">
                  <c:v>43709</c:v>
                </c:pt>
                <c:pt idx="55">
                  <c:v>43800</c:v>
                </c:pt>
                <c:pt idx="56">
                  <c:v>43891</c:v>
                </c:pt>
                <c:pt idx="57">
                  <c:v>43983</c:v>
                </c:pt>
                <c:pt idx="58">
                  <c:v>44075</c:v>
                </c:pt>
                <c:pt idx="59">
                  <c:v>44166</c:v>
                </c:pt>
                <c:pt idx="60">
                  <c:v>44256</c:v>
                </c:pt>
                <c:pt idx="61">
                  <c:v>44348</c:v>
                </c:pt>
                <c:pt idx="62">
                  <c:v>44440</c:v>
                </c:pt>
                <c:pt idx="63">
                  <c:v>44531</c:v>
                </c:pt>
                <c:pt idx="64">
                  <c:v>44621</c:v>
                </c:pt>
                <c:pt idx="65">
                  <c:v>44713</c:v>
                </c:pt>
                <c:pt idx="66">
                  <c:v>44805</c:v>
                </c:pt>
                <c:pt idx="67">
                  <c:v>44896</c:v>
                </c:pt>
                <c:pt idx="68">
                  <c:v>44986</c:v>
                </c:pt>
                <c:pt idx="69">
                  <c:v>45078</c:v>
                </c:pt>
                <c:pt idx="70">
                  <c:v>45170</c:v>
                </c:pt>
                <c:pt idx="71">
                  <c:v>45261</c:v>
                </c:pt>
                <c:pt idx="72">
                  <c:v>45352</c:v>
                </c:pt>
                <c:pt idx="73">
                  <c:v>45444</c:v>
                </c:pt>
                <c:pt idx="74">
                  <c:v>45536</c:v>
                </c:pt>
                <c:pt idx="75">
                  <c:v>45627</c:v>
                </c:pt>
              </c:numCache>
            </c:numRef>
          </c:cat>
          <c:val>
            <c:numRef>
              <c:f>Sheet1!$D$82:$CA$82</c:f>
              <c:numCache>
                <c:formatCode>General</c:formatCode>
                <c:ptCount val="76"/>
                <c:pt idx="0">
                  <c:v>0.85022433015364629</c:v>
                </c:pt>
                <c:pt idx="1">
                  <c:v>0.80775265454085066</c:v>
                </c:pt>
                <c:pt idx="2">
                  <c:v>0.80653130161410558</c:v>
                </c:pt>
                <c:pt idx="3">
                  <c:v>0.82322624759705187</c:v>
                </c:pt>
                <c:pt idx="4">
                  <c:v>0.78974986285219728</c:v>
                </c:pt>
                <c:pt idx="5">
                  <c:v>0.82829329970398713</c:v>
                </c:pt>
                <c:pt idx="6">
                  <c:v>0.83085279014607205</c:v>
                </c:pt>
                <c:pt idx="7">
                  <c:v>0.77829880267568485</c:v>
                </c:pt>
                <c:pt idx="8">
                  <c:v>0.69437455887887067</c:v>
                </c:pt>
                <c:pt idx="9">
                  <c:v>0.67880635031122916</c:v>
                </c:pt>
                <c:pt idx="10">
                  <c:v>0.64209995702246514</c:v>
                </c:pt>
                <c:pt idx="11">
                  <c:v>0.49002332416270383</c:v>
                </c:pt>
                <c:pt idx="12">
                  <c:v>0.43735191025373854</c:v>
                </c:pt>
                <c:pt idx="13">
                  <c:v>0.50326567106710285</c:v>
                </c:pt>
                <c:pt idx="14">
                  <c:v>0.5804364106616855</c:v>
                </c:pt>
                <c:pt idx="15">
                  <c:v>0.62790808438383861</c:v>
                </c:pt>
                <c:pt idx="16">
                  <c:v>0.65739988786877468</c:v>
                </c:pt>
                <c:pt idx="17">
                  <c:v>0.57181020749607292</c:v>
                </c:pt>
                <c:pt idx="18">
                  <c:v>0.6103497821529531</c:v>
                </c:pt>
                <c:pt idx="19">
                  <c:v>0.68179390546672891</c:v>
                </c:pt>
                <c:pt idx="20">
                  <c:v>0.71668646007852299</c:v>
                </c:pt>
                <c:pt idx="21">
                  <c:v>0.70741522516676059</c:v>
                </c:pt>
                <c:pt idx="22">
                  <c:v>0.60134404329547897</c:v>
                </c:pt>
                <c:pt idx="23">
                  <c:v>0.67856953898410799</c:v>
                </c:pt>
                <c:pt idx="24">
                  <c:v>0.75342598786086779</c:v>
                </c:pt>
                <c:pt idx="25">
                  <c:v>0.72992469099891277</c:v>
                </c:pt>
                <c:pt idx="26">
                  <c:v>0.75186984399130596</c:v>
                </c:pt>
                <c:pt idx="27">
                  <c:v>0.74542445549407566</c:v>
                </c:pt>
                <c:pt idx="28">
                  <c:v>0.80566892647692512</c:v>
                </c:pt>
                <c:pt idx="29">
                  <c:v>0.8351188136060389</c:v>
                </c:pt>
                <c:pt idx="30">
                  <c:v>0.87182634126487213</c:v>
                </c:pt>
                <c:pt idx="31">
                  <c:v>0.93297165102182489</c:v>
                </c:pt>
                <c:pt idx="32">
                  <c:v>0.92628591133961147</c:v>
                </c:pt>
                <c:pt idx="33">
                  <c:v>0.9566213721865815</c:v>
                </c:pt>
                <c:pt idx="34">
                  <c:v>0.95714057298056909</c:v>
                </c:pt>
                <c:pt idx="35">
                  <c:v>0.9809426121495407</c:v>
                </c:pt>
                <c:pt idx="36">
                  <c:v>0.98621757366076057</c:v>
                </c:pt>
                <c:pt idx="37">
                  <c:v>0.97115795215447265</c:v>
                </c:pt>
                <c:pt idx="38">
                  <c:v>0.90341787534189477</c:v>
                </c:pt>
                <c:pt idx="39">
                  <c:v>0.93893890115935363</c:v>
                </c:pt>
                <c:pt idx="40">
                  <c:v>0.91821119815030894</c:v>
                </c:pt>
                <c:pt idx="41">
                  <c:v>0.91808844776905785</c:v>
                </c:pt>
                <c:pt idx="42">
                  <c:v>0.95230769447994845</c:v>
                </c:pt>
                <c:pt idx="43">
                  <c:v>0.99332078107813249</c:v>
                </c:pt>
                <c:pt idx="44">
                  <c:v>1.049293967378393</c:v>
                </c:pt>
                <c:pt idx="45">
                  <c:v>1.0492962753800028</c:v>
                </c:pt>
                <c:pt idx="46">
                  <c:v>1.0779560507770216</c:v>
                </c:pt>
                <c:pt idx="47">
                  <c:v>1.142779415714585</c:v>
                </c:pt>
                <c:pt idx="48">
                  <c:v>1.1435606646210208</c:v>
                </c:pt>
                <c:pt idx="49">
                  <c:v>1.1832708848358113</c:v>
                </c:pt>
                <c:pt idx="50">
                  <c:v>1.2527300922164823</c:v>
                </c:pt>
                <c:pt idx="51">
                  <c:v>1.1028218744583749</c:v>
                </c:pt>
                <c:pt idx="52">
                  <c:v>1.1942477550587904</c:v>
                </c:pt>
                <c:pt idx="53">
                  <c:v>1.2190280417905104</c:v>
                </c:pt>
                <c:pt idx="54">
                  <c:v>1.1837560311791708</c:v>
                </c:pt>
                <c:pt idx="55">
                  <c:v>1.2798856317145901</c:v>
                </c:pt>
                <c:pt idx="56">
                  <c:v>1.0475247756162254</c:v>
                </c:pt>
                <c:pt idx="57">
                  <c:v>1.2129280879489992</c:v>
                </c:pt>
                <c:pt idx="58">
                  <c:v>1.3110411574688223</c:v>
                </c:pt>
                <c:pt idx="59">
                  <c:v>1.4780949307848896</c:v>
                </c:pt>
                <c:pt idx="60">
                  <c:v>1.5872004848182435</c:v>
                </c:pt>
                <c:pt idx="61">
                  <c:v>1.6824578045468583</c:v>
                </c:pt>
                <c:pt idx="62">
                  <c:v>1.6841357098783387</c:v>
                </c:pt>
                <c:pt idx="63">
                  <c:v>1.8423358576697768</c:v>
                </c:pt>
                <c:pt idx="64">
                  <c:v>1.7803688362813017</c:v>
                </c:pt>
                <c:pt idx="65">
                  <c:v>1.5570521994522069</c:v>
                </c:pt>
                <c:pt idx="66">
                  <c:v>1.5048695055827723</c:v>
                </c:pt>
                <c:pt idx="67">
                  <c:v>1.5737711095607518</c:v>
                </c:pt>
                <c:pt idx="68">
                  <c:v>1.6297037952890108</c:v>
                </c:pt>
                <c:pt idx="69">
                  <c:v>1.727469949863756</c:v>
                </c:pt>
                <c:pt idx="70">
                  <c:v>1.6749979278377252</c:v>
                </c:pt>
                <c:pt idx="71">
                  <c:v>1.764146062605352</c:v>
                </c:pt>
                <c:pt idx="72">
                  <c:v>1.9023141874577416</c:v>
                </c:pt>
                <c:pt idx="73">
                  <c:v>1.9489425960909623</c:v>
                </c:pt>
                <c:pt idx="74">
                  <c:v>1.9709942258419075</c:v>
                </c:pt>
                <c:pt idx="75">
                  <c:v>2.0681048643250377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4F-804B-BD0C-162580DAB680}"/>
            </c:ext>
          </c:extLst>
        </c:ser>
        <c:ser>
          <c:idx val="1"/>
          <c:order val="1"/>
          <c:tx>
            <c:strRef>
              <c:f>Sheet1!$C$83</c:f>
              <c:strCache>
                <c:ptCount val="1"/>
                <c:pt idx="0">
                  <c:v>Equity/Debt (portfolio)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Sheet1!$D$81:$CA$81</c:f>
              <c:numCache>
                <c:formatCode>mmm\-yy</c:formatCode>
                <c:ptCount val="76"/>
                <c:pt idx="0">
                  <c:v>38777</c:v>
                </c:pt>
                <c:pt idx="1">
                  <c:v>38869</c:v>
                </c:pt>
                <c:pt idx="2">
                  <c:v>38961</c:v>
                </c:pt>
                <c:pt idx="3">
                  <c:v>39052</c:v>
                </c:pt>
                <c:pt idx="4">
                  <c:v>39142</c:v>
                </c:pt>
                <c:pt idx="5">
                  <c:v>39234</c:v>
                </c:pt>
                <c:pt idx="6">
                  <c:v>39326</c:v>
                </c:pt>
                <c:pt idx="7">
                  <c:v>39417</c:v>
                </c:pt>
                <c:pt idx="8">
                  <c:v>39508</c:v>
                </c:pt>
                <c:pt idx="9">
                  <c:v>39600</c:v>
                </c:pt>
                <c:pt idx="10">
                  <c:v>39692</c:v>
                </c:pt>
                <c:pt idx="11">
                  <c:v>39783</c:v>
                </c:pt>
                <c:pt idx="12">
                  <c:v>39873</c:v>
                </c:pt>
                <c:pt idx="13">
                  <c:v>39965</c:v>
                </c:pt>
                <c:pt idx="14">
                  <c:v>40057</c:v>
                </c:pt>
                <c:pt idx="15">
                  <c:v>40148</c:v>
                </c:pt>
                <c:pt idx="16">
                  <c:v>40238</c:v>
                </c:pt>
                <c:pt idx="17">
                  <c:v>40330</c:v>
                </c:pt>
                <c:pt idx="18">
                  <c:v>40422</c:v>
                </c:pt>
                <c:pt idx="19">
                  <c:v>40513</c:v>
                </c:pt>
                <c:pt idx="20">
                  <c:v>40603</c:v>
                </c:pt>
                <c:pt idx="21">
                  <c:v>40695</c:v>
                </c:pt>
                <c:pt idx="22">
                  <c:v>40787</c:v>
                </c:pt>
                <c:pt idx="23">
                  <c:v>40878</c:v>
                </c:pt>
                <c:pt idx="24">
                  <c:v>40969</c:v>
                </c:pt>
                <c:pt idx="25">
                  <c:v>41061</c:v>
                </c:pt>
                <c:pt idx="26">
                  <c:v>41153</c:v>
                </c:pt>
                <c:pt idx="27">
                  <c:v>41244</c:v>
                </c:pt>
                <c:pt idx="28">
                  <c:v>41334</c:v>
                </c:pt>
                <c:pt idx="29">
                  <c:v>41426</c:v>
                </c:pt>
                <c:pt idx="30">
                  <c:v>41518</c:v>
                </c:pt>
                <c:pt idx="31">
                  <c:v>41609</c:v>
                </c:pt>
                <c:pt idx="32">
                  <c:v>41699</c:v>
                </c:pt>
                <c:pt idx="33">
                  <c:v>41791</c:v>
                </c:pt>
                <c:pt idx="34">
                  <c:v>41883</c:v>
                </c:pt>
                <c:pt idx="35">
                  <c:v>41974</c:v>
                </c:pt>
                <c:pt idx="36">
                  <c:v>42064</c:v>
                </c:pt>
                <c:pt idx="37">
                  <c:v>42156</c:v>
                </c:pt>
                <c:pt idx="38">
                  <c:v>42248</c:v>
                </c:pt>
                <c:pt idx="39">
                  <c:v>42339</c:v>
                </c:pt>
                <c:pt idx="40">
                  <c:v>42430</c:v>
                </c:pt>
                <c:pt idx="41">
                  <c:v>42522</c:v>
                </c:pt>
                <c:pt idx="42">
                  <c:v>42614</c:v>
                </c:pt>
                <c:pt idx="43">
                  <c:v>42705</c:v>
                </c:pt>
                <c:pt idx="44">
                  <c:v>42795</c:v>
                </c:pt>
                <c:pt idx="45">
                  <c:v>42887</c:v>
                </c:pt>
                <c:pt idx="46">
                  <c:v>42979</c:v>
                </c:pt>
                <c:pt idx="47">
                  <c:v>43070</c:v>
                </c:pt>
                <c:pt idx="48">
                  <c:v>43160</c:v>
                </c:pt>
                <c:pt idx="49">
                  <c:v>43252</c:v>
                </c:pt>
                <c:pt idx="50">
                  <c:v>43344</c:v>
                </c:pt>
                <c:pt idx="51">
                  <c:v>43435</c:v>
                </c:pt>
                <c:pt idx="52">
                  <c:v>43525</c:v>
                </c:pt>
                <c:pt idx="53">
                  <c:v>43617</c:v>
                </c:pt>
                <c:pt idx="54">
                  <c:v>43709</c:v>
                </c:pt>
                <c:pt idx="55">
                  <c:v>43800</c:v>
                </c:pt>
                <c:pt idx="56">
                  <c:v>43891</c:v>
                </c:pt>
                <c:pt idx="57">
                  <c:v>43983</c:v>
                </c:pt>
                <c:pt idx="58">
                  <c:v>44075</c:v>
                </c:pt>
                <c:pt idx="59">
                  <c:v>44166</c:v>
                </c:pt>
                <c:pt idx="60">
                  <c:v>44256</c:v>
                </c:pt>
                <c:pt idx="61">
                  <c:v>44348</c:v>
                </c:pt>
                <c:pt idx="62">
                  <c:v>44440</c:v>
                </c:pt>
                <c:pt idx="63">
                  <c:v>44531</c:v>
                </c:pt>
                <c:pt idx="64">
                  <c:v>44621</c:v>
                </c:pt>
                <c:pt idx="65">
                  <c:v>44713</c:v>
                </c:pt>
                <c:pt idx="66">
                  <c:v>44805</c:v>
                </c:pt>
                <c:pt idx="67">
                  <c:v>44896</c:v>
                </c:pt>
                <c:pt idx="68">
                  <c:v>44986</c:v>
                </c:pt>
                <c:pt idx="69">
                  <c:v>45078</c:v>
                </c:pt>
                <c:pt idx="70">
                  <c:v>45170</c:v>
                </c:pt>
                <c:pt idx="71">
                  <c:v>45261</c:v>
                </c:pt>
                <c:pt idx="72">
                  <c:v>45352</c:v>
                </c:pt>
                <c:pt idx="73">
                  <c:v>45444</c:v>
                </c:pt>
                <c:pt idx="74">
                  <c:v>45536</c:v>
                </c:pt>
                <c:pt idx="75">
                  <c:v>45627</c:v>
                </c:pt>
              </c:numCache>
            </c:numRef>
          </c:cat>
          <c:val>
            <c:numRef>
              <c:f>Sheet1!$D$83:$CA$83</c:f>
              <c:numCache>
                <c:formatCode>General</c:formatCode>
                <c:ptCount val="76"/>
                <c:pt idx="0">
                  <c:v>0.476925751840444</c:v>
                </c:pt>
                <c:pt idx="1">
                  <c:v>0.45355422058739303</c:v>
                </c:pt>
                <c:pt idx="2">
                  <c:v>0.45273096073312286</c:v>
                </c:pt>
                <c:pt idx="3">
                  <c:v>0.46134562093188114</c:v>
                </c:pt>
                <c:pt idx="4">
                  <c:v>0.44353528886807458</c:v>
                </c:pt>
                <c:pt idx="5">
                  <c:v>0.47053696450783578</c:v>
                </c:pt>
                <c:pt idx="6">
                  <c:v>0.47309995974089697</c:v>
                </c:pt>
                <c:pt idx="7">
                  <c:v>0.4554621403423072</c:v>
                </c:pt>
                <c:pt idx="8">
                  <c:v>0.4092381896784183</c:v>
                </c:pt>
                <c:pt idx="9">
                  <c:v>0.40353050185410327</c:v>
                </c:pt>
                <c:pt idx="10">
                  <c:v>0.38218798214816152</c:v>
                </c:pt>
                <c:pt idx="11">
                  <c:v>0.29038611332018782</c:v>
                </c:pt>
                <c:pt idx="12">
                  <c:v>0.26223659439674268</c:v>
                </c:pt>
                <c:pt idx="13">
                  <c:v>0.30513330625470297</c:v>
                </c:pt>
                <c:pt idx="14">
                  <c:v>0.35541487495692886</c:v>
                </c:pt>
                <c:pt idx="15">
                  <c:v>0.38667556904046663</c:v>
                </c:pt>
                <c:pt idx="16">
                  <c:v>0.40890911920120876</c:v>
                </c:pt>
                <c:pt idx="17">
                  <c:v>0.35758938572011428</c:v>
                </c:pt>
                <c:pt idx="18">
                  <c:v>0.37923587570824258</c:v>
                </c:pt>
                <c:pt idx="19">
                  <c:v>0.42599531230458176</c:v>
                </c:pt>
                <c:pt idx="20">
                  <c:v>0.45044992737591422</c:v>
                </c:pt>
                <c:pt idx="21">
                  <c:v>0.44519093101923918</c:v>
                </c:pt>
                <c:pt idx="22">
                  <c:v>0.38055641907664411</c:v>
                </c:pt>
                <c:pt idx="23">
                  <c:v>0.43631479617713881</c:v>
                </c:pt>
                <c:pt idx="24">
                  <c:v>0.48562542532409936</c:v>
                </c:pt>
                <c:pt idx="25">
                  <c:v>0.47166978523233083</c:v>
                </c:pt>
                <c:pt idx="26">
                  <c:v>0.48450982360222178</c:v>
                </c:pt>
                <c:pt idx="27">
                  <c:v>0.48183167145527261</c:v>
                </c:pt>
                <c:pt idx="28">
                  <c:v>0.52255619297309863</c:v>
                </c:pt>
                <c:pt idx="29">
                  <c:v>0.54261406570808968</c:v>
                </c:pt>
                <c:pt idx="30">
                  <c:v>0.56984970386633882</c:v>
                </c:pt>
                <c:pt idx="31">
                  <c:v>0.60605678555525044</c:v>
                </c:pt>
                <c:pt idx="32">
                  <c:v>0.6121340087128162</c:v>
                </c:pt>
                <c:pt idx="33">
                  <c:v>0.63082953229473426</c:v>
                </c:pt>
                <c:pt idx="34">
                  <c:v>0.63530300529900996</c:v>
                </c:pt>
                <c:pt idx="35">
                  <c:v>0.64620359073822198</c:v>
                </c:pt>
                <c:pt idx="36">
                  <c:v>0.646557371252101</c:v>
                </c:pt>
                <c:pt idx="37">
                  <c:v>0.63401191500510379</c:v>
                </c:pt>
                <c:pt idx="38">
                  <c:v>0.58496063502271189</c:v>
                </c:pt>
                <c:pt idx="39">
                  <c:v>0.59492375320094371</c:v>
                </c:pt>
                <c:pt idx="40">
                  <c:v>0.57152632447328144</c:v>
                </c:pt>
                <c:pt idx="41">
                  <c:v>0.56413391834150928</c:v>
                </c:pt>
                <c:pt idx="42">
                  <c:v>0.58871917717743005</c:v>
                </c:pt>
                <c:pt idx="43">
                  <c:v>0.60893172174133869</c:v>
                </c:pt>
                <c:pt idx="44">
                  <c:v>0.64307883495943807</c:v>
                </c:pt>
                <c:pt idx="45">
                  <c:v>0.63901502057631454</c:v>
                </c:pt>
                <c:pt idx="46">
                  <c:v>0.65724104626701774</c:v>
                </c:pt>
                <c:pt idx="47">
                  <c:v>0.69317750650599841</c:v>
                </c:pt>
                <c:pt idx="48">
                  <c:v>0.69943498695459716</c:v>
                </c:pt>
                <c:pt idx="49">
                  <c:v>0.7196619991912977</c:v>
                </c:pt>
                <c:pt idx="50">
                  <c:v>0.75289744032698114</c:v>
                </c:pt>
                <c:pt idx="51">
                  <c:v>0.66689659576959937</c:v>
                </c:pt>
                <c:pt idx="52">
                  <c:v>0.70664323849775634</c:v>
                </c:pt>
                <c:pt idx="53">
                  <c:v>0.72179918212745109</c:v>
                </c:pt>
                <c:pt idx="54">
                  <c:v>0.69548932024449983</c:v>
                </c:pt>
                <c:pt idx="55">
                  <c:v>0.74564834512228206</c:v>
                </c:pt>
                <c:pt idx="56">
                  <c:v>0.62360684822682333</c:v>
                </c:pt>
                <c:pt idx="57">
                  <c:v>0.71326405885277522</c:v>
                </c:pt>
                <c:pt idx="58">
                  <c:v>0.77842567659702822</c:v>
                </c:pt>
                <c:pt idx="59">
                  <c:v>0.88733458206389637</c:v>
                </c:pt>
                <c:pt idx="60">
                  <c:v>0.95770774219023391</c:v>
                </c:pt>
                <c:pt idx="61">
                  <c:v>1.0135528530518996</c:v>
                </c:pt>
                <c:pt idx="62">
                  <c:v>1.0171690178242585</c:v>
                </c:pt>
                <c:pt idx="63">
                  <c:v>1.1114806584656063</c:v>
                </c:pt>
                <c:pt idx="64">
                  <c:v>1.0767778883692209</c:v>
                </c:pt>
                <c:pt idx="65">
                  <c:v>0.95408340784283641</c:v>
                </c:pt>
                <c:pt idx="66">
                  <c:v>0.92964305474768394</c:v>
                </c:pt>
                <c:pt idx="67">
                  <c:v>0.96335523309647775</c:v>
                </c:pt>
                <c:pt idx="68">
                  <c:v>0.98805518295019357</c:v>
                </c:pt>
                <c:pt idx="69">
                  <c:v>1.0416892085535912</c:v>
                </c:pt>
                <c:pt idx="70">
                  <c:v>1.0174420441386784</c:v>
                </c:pt>
                <c:pt idx="71">
                  <c:v>1.0616885151912794</c:v>
                </c:pt>
                <c:pt idx="72">
                  <c:v>1.1435386478741052</c:v>
                </c:pt>
                <c:pt idx="73">
                  <c:v>1.1739791016740511</c:v>
                </c:pt>
                <c:pt idx="74">
                  <c:v>1.1875725614442121</c:v>
                </c:pt>
                <c:pt idx="75">
                  <c:v>1.2594877763729855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C4F-804B-BD0C-162580DAB6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2897584"/>
        <c:axId val="517528672"/>
      </c:lineChart>
      <c:dateAx>
        <c:axId val="472897584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528672"/>
        <c:crosses val="autoZero"/>
        <c:auto val="1"/>
        <c:lblOffset val="100"/>
        <c:baseTimeUnit val="months"/>
      </c:dateAx>
      <c:valAx>
        <c:axId val="517528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897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Equity</a:t>
            </a:r>
            <a:r>
              <a:rPr lang="en-GB" baseline="0"/>
              <a:t> Liabilities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Sheet1!$C$85</c:f>
              <c:strCache>
                <c:ptCount val="1"/>
                <c:pt idx="0">
                  <c:v>Equity (total)/Total liabilities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Sheet1!$D$84:$CA$84</c:f>
              <c:numCache>
                <c:formatCode>mmm\-yy</c:formatCode>
                <c:ptCount val="76"/>
                <c:pt idx="0">
                  <c:v>38777</c:v>
                </c:pt>
                <c:pt idx="1">
                  <c:v>38869</c:v>
                </c:pt>
                <c:pt idx="2">
                  <c:v>38961</c:v>
                </c:pt>
                <c:pt idx="3">
                  <c:v>39052</c:v>
                </c:pt>
                <c:pt idx="4">
                  <c:v>39142</c:v>
                </c:pt>
                <c:pt idx="5">
                  <c:v>39234</c:v>
                </c:pt>
                <c:pt idx="6">
                  <c:v>39326</c:v>
                </c:pt>
                <c:pt idx="7">
                  <c:v>39417</c:v>
                </c:pt>
                <c:pt idx="8">
                  <c:v>39508</c:v>
                </c:pt>
                <c:pt idx="9">
                  <c:v>39600</c:v>
                </c:pt>
                <c:pt idx="10">
                  <c:v>39692</c:v>
                </c:pt>
                <c:pt idx="11">
                  <c:v>39783</c:v>
                </c:pt>
                <c:pt idx="12">
                  <c:v>39873</c:v>
                </c:pt>
                <c:pt idx="13">
                  <c:v>39965</c:v>
                </c:pt>
                <c:pt idx="14">
                  <c:v>40057</c:v>
                </c:pt>
                <c:pt idx="15">
                  <c:v>40148</c:v>
                </c:pt>
                <c:pt idx="16">
                  <c:v>40238</c:v>
                </c:pt>
                <c:pt idx="17">
                  <c:v>40330</c:v>
                </c:pt>
                <c:pt idx="18">
                  <c:v>40422</c:v>
                </c:pt>
                <c:pt idx="19">
                  <c:v>40513</c:v>
                </c:pt>
                <c:pt idx="20">
                  <c:v>40603</c:v>
                </c:pt>
                <c:pt idx="21">
                  <c:v>40695</c:v>
                </c:pt>
                <c:pt idx="22">
                  <c:v>40787</c:v>
                </c:pt>
                <c:pt idx="23">
                  <c:v>40878</c:v>
                </c:pt>
                <c:pt idx="24">
                  <c:v>40969</c:v>
                </c:pt>
                <c:pt idx="25">
                  <c:v>41061</c:v>
                </c:pt>
                <c:pt idx="26">
                  <c:v>41153</c:v>
                </c:pt>
                <c:pt idx="27">
                  <c:v>41244</c:v>
                </c:pt>
                <c:pt idx="28">
                  <c:v>41334</c:v>
                </c:pt>
                <c:pt idx="29">
                  <c:v>41426</c:v>
                </c:pt>
                <c:pt idx="30">
                  <c:v>41518</c:v>
                </c:pt>
                <c:pt idx="31">
                  <c:v>41609</c:v>
                </c:pt>
                <c:pt idx="32">
                  <c:v>41699</c:v>
                </c:pt>
                <c:pt idx="33">
                  <c:v>41791</c:v>
                </c:pt>
                <c:pt idx="34">
                  <c:v>41883</c:v>
                </c:pt>
                <c:pt idx="35">
                  <c:v>41974</c:v>
                </c:pt>
                <c:pt idx="36">
                  <c:v>42064</c:v>
                </c:pt>
                <c:pt idx="37">
                  <c:v>42156</c:v>
                </c:pt>
                <c:pt idx="38">
                  <c:v>42248</c:v>
                </c:pt>
                <c:pt idx="39">
                  <c:v>42339</c:v>
                </c:pt>
                <c:pt idx="40">
                  <c:v>42430</c:v>
                </c:pt>
                <c:pt idx="41">
                  <c:v>42522</c:v>
                </c:pt>
                <c:pt idx="42">
                  <c:v>42614</c:v>
                </c:pt>
                <c:pt idx="43">
                  <c:v>42705</c:v>
                </c:pt>
                <c:pt idx="44">
                  <c:v>42795</c:v>
                </c:pt>
                <c:pt idx="45">
                  <c:v>42887</c:v>
                </c:pt>
                <c:pt idx="46">
                  <c:v>42979</c:v>
                </c:pt>
                <c:pt idx="47">
                  <c:v>43070</c:v>
                </c:pt>
                <c:pt idx="48">
                  <c:v>43160</c:v>
                </c:pt>
                <c:pt idx="49">
                  <c:v>43252</c:v>
                </c:pt>
                <c:pt idx="50">
                  <c:v>43344</c:v>
                </c:pt>
                <c:pt idx="51">
                  <c:v>43435</c:v>
                </c:pt>
                <c:pt idx="52">
                  <c:v>43525</c:v>
                </c:pt>
                <c:pt idx="53">
                  <c:v>43617</c:v>
                </c:pt>
                <c:pt idx="54">
                  <c:v>43709</c:v>
                </c:pt>
                <c:pt idx="55">
                  <c:v>43800</c:v>
                </c:pt>
                <c:pt idx="56">
                  <c:v>43891</c:v>
                </c:pt>
                <c:pt idx="57">
                  <c:v>43983</c:v>
                </c:pt>
                <c:pt idx="58">
                  <c:v>44075</c:v>
                </c:pt>
                <c:pt idx="59">
                  <c:v>44166</c:v>
                </c:pt>
                <c:pt idx="60">
                  <c:v>44256</c:v>
                </c:pt>
                <c:pt idx="61">
                  <c:v>44348</c:v>
                </c:pt>
                <c:pt idx="62">
                  <c:v>44440</c:v>
                </c:pt>
                <c:pt idx="63">
                  <c:v>44531</c:v>
                </c:pt>
                <c:pt idx="64">
                  <c:v>44621</c:v>
                </c:pt>
                <c:pt idx="65">
                  <c:v>44713</c:v>
                </c:pt>
                <c:pt idx="66">
                  <c:v>44805</c:v>
                </c:pt>
                <c:pt idx="67">
                  <c:v>44896</c:v>
                </c:pt>
                <c:pt idx="68">
                  <c:v>44986</c:v>
                </c:pt>
                <c:pt idx="69">
                  <c:v>45078</c:v>
                </c:pt>
                <c:pt idx="70">
                  <c:v>45170</c:v>
                </c:pt>
                <c:pt idx="71">
                  <c:v>45261</c:v>
                </c:pt>
                <c:pt idx="72">
                  <c:v>45352</c:v>
                </c:pt>
                <c:pt idx="73">
                  <c:v>45444</c:v>
                </c:pt>
                <c:pt idx="74">
                  <c:v>45536</c:v>
                </c:pt>
                <c:pt idx="75">
                  <c:v>45627</c:v>
                </c:pt>
              </c:numCache>
            </c:numRef>
          </c:cat>
          <c:val>
            <c:numRef>
              <c:f>Sheet1!$D$85:$CA$85</c:f>
              <c:numCache>
                <c:formatCode>0%</c:formatCode>
                <c:ptCount val="76"/>
                <c:pt idx="0">
                  <c:v>0.31322717028832359</c:v>
                </c:pt>
                <c:pt idx="1">
                  <c:v>0.30342140353844249</c:v>
                </c:pt>
                <c:pt idx="2">
                  <c:v>0.3077675716330977</c:v>
                </c:pt>
                <c:pt idx="3">
                  <c:v>0.31218139576012754</c:v>
                </c:pt>
                <c:pt idx="4">
                  <c:v>0.30559919699171462</c:v>
                </c:pt>
                <c:pt idx="5">
                  <c:v>0.31037320369101001</c:v>
                </c:pt>
                <c:pt idx="6">
                  <c:v>0.30969841394086783</c:v>
                </c:pt>
                <c:pt idx="7">
                  <c:v>0.2878987059495462</c:v>
                </c:pt>
                <c:pt idx="8">
                  <c:v>0.2466583550087906</c:v>
                </c:pt>
                <c:pt idx="9">
                  <c:v>0.25198752722936812</c:v>
                </c:pt>
                <c:pt idx="10">
                  <c:v>0.24443294251932085</c:v>
                </c:pt>
                <c:pt idx="11">
                  <c:v>0.17648024114727373</c:v>
                </c:pt>
                <c:pt idx="12">
                  <c:v>0.16604962265446585</c:v>
                </c:pt>
                <c:pt idx="13">
                  <c:v>0.20237568959856658</c:v>
                </c:pt>
                <c:pt idx="14">
                  <c:v>0.22538986774604061</c:v>
                </c:pt>
                <c:pt idx="15">
                  <c:v>0.24628462255405292</c:v>
                </c:pt>
                <c:pt idx="16">
                  <c:v>0.25676485129117482</c:v>
                </c:pt>
                <c:pt idx="17">
                  <c:v>0.22388084709112441</c:v>
                </c:pt>
                <c:pt idx="18">
                  <c:v>0.23491547460555989</c:v>
                </c:pt>
                <c:pt idx="19">
                  <c:v>0.26662370608039609</c:v>
                </c:pt>
                <c:pt idx="20">
                  <c:v>0.27787427489996896</c:v>
                </c:pt>
                <c:pt idx="21">
                  <c:v>0.2750064794200146</c:v>
                </c:pt>
                <c:pt idx="22">
                  <c:v>0.2289948712606181</c:v>
                </c:pt>
                <c:pt idx="23">
                  <c:v>0.2554079322214779</c:v>
                </c:pt>
                <c:pt idx="24">
                  <c:v>0.28606473875789201</c:v>
                </c:pt>
                <c:pt idx="25">
                  <c:v>0.28039793600546997</c:v>
                </c:pt>
                <c:pt idx="26">
                  <c:v>0.29070176604405801</c:v>
                </c:pt>
                <c:pt idx="27">
                  <c:v>0.29398644188918432</c:v>
                </c:pt>
                <c:pt idx="28">
                  <c:v>0.31525616415520114</c:v>
                </c:pt>
                <c:pt idx="29">
                  <c:v>0.32492327176922386</c:v>
                </c:pt>
                <c:pt idx="30">
                  <c:v>0.33778149652418932</c:v>
                </c:pt>
                <c:pt idx="31">
                  <c:v>0.34925859662287201</c:v>
                </c:pt>
                <c:pt idx="32">
                  <c:v>0.35223541462344621</c:v>
                </c:pt>
                <c:pt idx="33">
                  <c:v>0.35920373646259018</c:v>
                </c:pt>
                <c:pt idx="34">
                  <c:v>0.3592428085554748</c:v>
                </c:pt>
                <c:pt idx="35">
                  <c:v>0.36251567158589409</c:v>
                </c:pt>
                <c:pt idx="36">
                  <c:v>0.36305622774881424</c:v>
                </c:pt>
                <c:pt idx="37">
                  <c:v>0.37252391922841033</c:v>
                </c:pt>
                <c:pt idx="38">
                  <c:v>0.35191225418133065</c:v>
                </c:pt>
                <c:pt idx="39">
                  <c:v>0.36641814991782556</c:v>
                </c:pt>
                <c:pt idx="40">
                  <c:v>0.35553576947748461</c:v>
                </c:pt>
                <c:pt idx="41">
                  <c:v>0.35310605497897313</c:v>
                </c:pt>
                <c:pt idx="42">
                  <c:v>0.36931491987268017</c:v>
                </c:pt>
                <c:pt idx="43">
                  <c:v>0.38536319278803044</c:v>
                </c:pt>
                <c:pt idx="44">
                  <c:v>0.4003545504679068</c:v>
                </c:pt>
                <c:pt idx="45">
                  <c:v>0.40140403770483979</c:v>
                </c:pt>
                <c:pt idx="46">
                  <c:v>0.41086180566046293</c:v>
                </c:pt>
                <c:pt idx="47">
                  <c:v>0.42519690131173227</c:v>
                </c:pt>
                <c:pt idx="48">
                  <c:v>0.42385297272310973</c:v>
                </c:pt>
                <c:pt idx="49">
                  <c:v>0.42911233913685271</c:v>
                </c:pt>
                <c:pt idx="50">
                  <c:v>0.44476767217389868</c:v>
                </c:pt>
                <c:pt idx="51">
                  <c:v>0.40927515440263468</c:v>
                </c:pt>
                <c:pt idx="52">
                  <c:v>0.43010405300197929</c:v>
                </c:pt>
                <c:pt idx="53">
                  <c:v>0.43305473711915726</c:v>
                </c:pt>
                <c:pt idx="54">
                  <c:v>0.42533757481313506</c:v>
                </c:pt>
                <c:pt idx="55">
                  <c:v>0.44645847025907481</c:v>
                </c:pt>
                <c:pt idx="56">
                  <c:v>0.37618649128671744</c:v>
                </c:pt>
                <c:pt idx="57">
                  <c:v>0.42112279091514182</c:v>
                </c:pt>
                <c:pt idx="58">
                  <c:v>0.44342093169110158</c:v>
                </c:pt>
                <c:pt idx="59">
                  <c:v>0.47273285047800623</c:v>
                </c:pt>
                <c:pt idx="60">
                  <c:v>0.49212143510558543</c:v>
                </c:pt>
                <c:pt idx="61">
                  <c:v>0.50803531504053412</c:v>
                </c:pt>
                <c:pt idx="62">
                  <c:v>0.50620631946446937</c:v>
                </c:pt>
                <c:pt idx="63">
                  <c:v>0.52839088790280508</c:v>
                </c:pt>
                <c:pt idx="64">
                  <c:v>0.51272999988924617</c:v>
                </c:pt>
                <c:pt idx="65">
                  <c:v>0.47431852797195562</c:v>
                </c:pt>
                <c:pt idx="66">
                  <c:v>0.45880793648644191</c:v>
                </c:pt>
                <c:pt idx="67">
                  <c:v>0.47362479282219921</c:v>
                </c:pt>
                <c:pt idx="68">
                  <c:v>0.48697025707016528</c:v>
                </c:pt>
                <c:pt idx="69">
                  <c:v>0.50164448852080012</c:v>
                </c:pt>
                <c:pt idx="70">
                  <c:v>0.49214276297541681</c:v>
                </c:pt>
                <c:pt idx="71">
                  <c:v>0.51085777119599773</c:v>
                </c:pt>
                <c:pt idx="72">
                  <c:v>0.53124947586265003</c:v>
                </c:pt>
                <c:pt idx="73">
                  <c:v>0.53655379151663707</c:v>
                </c:pt>
                <c:pt idx="74">
                  <c:v>0.5395499376190992</c:v>
                </c:pt>
                <c:pt idx="75">
                  <c:v>0.55260053044245427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F2-ED4D-A02B-1D0014F8C7E2}"/>
            </c:ext>
          </c:extLst>
        </c:ser>
        <c:ser>
          <c:idx val="1"/>
          <c:order val="1"/>
          <c:tx>
            <c:strRef>
              <c:f>Sheet1!$C$86</c:f>
              <c:strCache>
                <c:ptCount val="1"/>
                <c:pt idx="0">
                  <c:v>Equity (portfolio)/Net IIP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Sheet1!$D$84:$CA$84</c:f>
              <c:numCache>
                <c:formatCode>mmm\-yy</c:formatCode>
                <c:ptCount val="76"/>
                <c:pt idx="0">
                  <c:v>38777</c:v>
                </c:pt>
                <c:pt idx="1">
                  <c:v>38869</c:v>
                </c:pt>
                <c:pt idx="2">
                  <c:v>38961</c:v>
                </c:pt>
                <c:pt idx="3">
                  <c:v>39052</c:v>
                </c:pt>
                <c:pt idx="4">
                  <c:v>39142</c:v>
                </c:pt>
                <c:pt idx="5">
                  <c:v>39234</c:v>
                </c:pt>
                <c:pt idx="6">
                  <c:v>39326</c:v>
                </c:pt>
                <c:pt idx="7">
                  <c:v>39417</c:v>
                </c:pt>
                <c:pt idx="8">
                  <c:v>39508</c:v>
                </c:pt>
                <c:pt idx="9">
                  <c:v>39600</c:v>
                </c:pt>
                <c:pt idx="10">
                  <c:v>39692</c:v>
                </c:pt>
                <c:pt idx="11">
                  <c:v>39783</c:v>
                </c:pt>
                <c:pt idx="12">
                  <c:v>39873</c:v>
                </c:pt>
                <c:pt idx="13">
                  <c:v>39965</c:v>
                </c:pt>
                <c:pt idx="14">
                  <c:v>40057</c:v>
                </c:pt>
                <c:pt idx="15">
                  <c:v>40148</c:v>
                </c:pt>
                <c:pt idx="16">
                  <c:v>40238</c:v>
                </c:pt>
                <c:pt idx="17">
                  <c:v>40330</c:v>
                </c:pt>
                <c:pt idx="18">
                  <c:v>40422</c:v>
                </c:pt>
                <c:pt idx="19">
                  <c:v>40513</c:v>
                </c:pt>
                <c:pt idx="20">
                  <c:v>40603</c:v>
                </c:pt>
                <c:pt idx="21">
                  <c:v>40695</c:v>
                </c:pt>
                <c:pt idx="22">
                  <c:v>40787</c:v>
                </c:pt>
                <c:pt idx="23">
                  <c:v>40878</c:v>
                </c:pt>
                <c:pt idx="24">
                  <c:v>40969</c:v>
                </c:pt>
                <c:pt idx="25">
                  <c:v>41061</c:v>
                </c:pt>
                <c:pt idx="26">
                  <c:v>41153</c:v>
                </c:pt>
                <c:pt idx="27">
                  <c:v>41244</c:v>
                </c:pt>
                <c:pt idx="28">
                  <c:v>41334</c:v>
                </c:pt>
                <c:pt idx="29">
                  <c:v>41426</c:v>
                </c:pt>
                <c:pt idx="30">
                  <c:v>41518</c:v>
                </c:pt>
                <c:pt idx="31">
                  <c:v>41609</c:v>
                </c:pt>
                <c:pt idx="32">
                  <c:v>41699</c:v>
                </c:pt>
                <c:pt idx="33">
                  <c:v>41791</c:v>
                </c:pt>
                <c:pt idx="34">
                  <c:v>41883</c:v>
                </c:pt>
                <c:pt idx="35">
                  <c:v>41974</c:v>
                </c:pt>
                <c:pt idx="36">
                  <c:v>42064</c:v>
                </c:pt>
                <c:pt idx="37">
                  <c:v>42156</c:v>
                </c:pt>
                <c:pt idx="38">
                  <c:v>42248</c:v>
                </c:pt>
                <c:pt idx="39">
                  <c:v>42339</c:v>
                </c:pt>
                <c:pt idx="40">
                  <c:v>42430</c:v>
                </c:pt>
                <c:pt idx="41">
                  <c:v>42522</c:v>
                </c:pt>
                <c:pt idx="42">
                  <c:v>42614</c:v>
                </c:pt>
                <c:pt idx="43">
                  <c:v>42705</c:v>
                </c:pt>
                <c:pt idx="44">
                  <c:v>42795</c:v>
                </c:pt>
                <c:pt idx="45">
                  <c:v>42887</c:v>
                </c:pt>
                <c:pt idx="46">
                  <c:v>42979</c:v>
                </c:pt>
                <c:pt idx="47">
                  <c:v>43070</c:v>
                </c:pt>
                <c:pt idx="48">
                  <c:v>43160</c:v>
                </c:pt>
                <c:pt idx="49">
                  <c:v>43252</c:v>
                </c:pt>
                <c:pt idx="50">
                  <c:v>43344</c:v>
                </c:pt>
                <c:pt idx="51">
                  <c:v>43435</c:v>
                </c:pt>
                <c:pt idx="52">
                  <c:v>43525</c:v>
                </c:pt>
                <c:pt idx="53">
                  <c:v>43617</c:v>
                </c:pt>
                <c:pt idx="54">
                  <c:v>43709</c:v>
                </c:pt>
                <c:pt idx="55">
                  <c:v>43800</c:v>
                </c:pt>
                <c:pt idx="56">
                  <c:v>43891</c:v>
                </c:pt>
                <c:pt idx="57">
                  <c:v>43983</c:v>
                </c:pt>
                <c:pt idx="58">
                  <c:v>44075</c:v>
                </c:pt>
                <c:pt idx="59">
                  <c:v>44166</c:v>
                </c:pt>
                <c:pt idx="60">
                  <c:v>44256</c:v>
                </c:pt>
                <c:pt idx="61">
                  <c:v>44348</c:v>
                </c:pt>
                <c:pt idx="62">
                  <c:v>44440</c:v>
                </c:pt>
                <c:pt idx="63">
                  <c:v>44531</c:v>
                </c:pt>
                <c:pt idx="64">
                  <c:v>44621</c:v>
                </c:pt>
                <c:pt idx="65">
                  <c:v>44713</c:v>
                </c:pt>
                <c:pt idx="66">
                  <c:v>44805</c:v>
                </c:pt>
                <c:pt idx="67">
                  <c:v>44896</c:v>
                </c:pt>
                <c:pt idx="68">
                  <c:v>44986</c:v>
                </c:pt>
                <c:pt idx="69">
                  <c:v>45078</c:v>
                </c:pt>
                <c:pt idx="70">
                  <c:v>45170</c:v>
                </c:pt>
                <c:pt idx="71">
                  <c:v>45261</c:v>
                </c:pt>
                <c:pt idx="72">
                  <c:v>45352</c:v>
                </c:pt>
                <c:pt idx="73">
                  <c:v>45444</c:v>
                </c:pt>
                <c:pt idx="74">
                  <c:v>45536</c:v>
                </c:pt>
                <c:pt idx="75">
                  <c:v>45627</c:v>
                </c:pt>
              </c:numCache>
            </c:numRef>
          </c:cat>
          <c:val>
            <c:numRef>
              <c:f>Sheet1!$D$86:$CA$86</c:f>
              <c:numCache>
                <c:formatCode>General</c:formatCode>
                <c:ptCount val="76"/>
                <c:pt idx="0">
                  <c:v>0.15226942658744497</c:v>
                </c:pt>
                <c:pt idx="1">
                  <c:v>0.1474766980570219</c:v>
                </c:pt>
                <c:pt idx="2">
                  <c:v>0.15043526273329094</c:v>
                </c:pt>
                <c:pt idx="3">
                  <c:v>0.15324636488380852</c:v>
                </c:pt>
                <c:pt idx="4">
                  <c:v>0.15024745129412673</c:v>
                </c:pt>
                <c:pt idx="5">
                  <c:v>0.15445043218905957</c:v>
                </c:pt>
                <c:pt idx="6">
                  <c:v>0.15407382387280044</c:v>
                </c:pt>
                <c:pt idx="7">
                  <c:v>0.14700016320963669</c:v>
                </c:pt>
                <c:pt idx="8">
                  <c:v>0.12685399255540256</c:v>
                </c:pt>
                <c:pt idx="9">
                  <c:v>0.12995553492107925</c:v>
                </c:pt>
                <c:pt idx="10">
                  <c:v>0.1256373127479844</c:v>
                </c:pt>
                <c:pt idx="11">
                  <c:v>9.1056777745049916E-2</c:v>
                </c:pt>
                <c:pt idx="12">
                  <c:v>8.6562674243071847E-2</c:v>
                </c:pt>
                <c:pt idx="13">
                  <c:v>0.10657568333325289</c:v>
                </c:pt>
                <c:pt idx="14">
                  <c:v>0.11998463606168965</c:v>
                </c:pt>
                <c:pt idx="15">
                  <c:v>0.13229662441221207</c:v>
                </c:pt>
                <c:pt idx="16">
                  <c:v>0.13931004291003235</c:v>
                </c:pt>
                <c:pt idx="17">
                  <c:v>0.1224757291419284</c:v>
                </c:pt>
                <c:pt idx="18">
                  <c:v>0.12825541913335461</c:v>
                </c:pt>
                <c:pt idx="19">
                  <c:v>0.1460389061294578</c:v>
                </c:pt>
                <c:pt idx="20">
                  <c:v>0.15304600911784849</c:v>
                </c:pt>
                <c:pt idx="21">
                  <c:v>0.1517768273747768</c:v>
                </c:pt>
                <c:pt idx="22">
                  <c:v>0.12734869568174587</c:v>
                </c:pt>
                <c:pt idx="23">
                  <c:v>0.14408430191457045</c:v>
                </c:pt>
                <c:pt idx="24">
                  <c:v>0.16237284326427961</c:v>
                </c:pt>
                <c:pt idx="25">
                  <c:v>0.15921852315504589</c:v>
                </c:pt>
                <c:pt idx="26">
                  <c:v>0.16506900208524747</c:v>
                </c:pt>
                <c:pt idx="27">
                  <c:v>0.16784829373696047</c:v>
                </c:pt>
                <c:pt idx="28">
                  <c:v>0.18007933400261891</c:v>
                </c:pt>
                <c:pt idx="29">
                  <c:v>0.18480670368414906</c:v>
                </c:pt>
                <c:pt idx="30">
                  <c:v>0.19323209201109501</c:v>
                </c:pt>
                <c:pt idx="31">
                  <c:v>0.19870959723713494</c:v>
                </c:pt>
                <c:pt idx="32">
                  <c:v>0.20414033230924769</c:v>
                </c:pt>
                <c:pt idx="33">
                  <c:v>0.20793281411831871</c:v>
                </c:pt>
                <c:pt idx="34">
                  <c:v>0.20846124994903198</c:v>
                </c:pt>
                <c:pt idx="35">
                  <c:v>0.20869811347786549</c:v>
                </c:pt>
                <c:pt idx="36">
                  <c:v>0.20691544633991155</c:v>
                </c:pt>
                <c:pt idx="37">
                  <c:v>0.21099927439626329</c:v>
                </c:pt>
                <c:pt idx="38">
                  <c:v>0.19735073101762438</c:v>
                </c:pt>
                <c:pt idx="39">
                  <c:v>0.20099172552102687</c:v>
                </c:pt>
                <c:pt idx="40">
                  <c:v>0.19232929556966483</c:v>
                </c:pt>
                <c:pt idx="41">
                  <c:v>0.18837841621554244</c:v>
                </c:pt>
                <c:pt idx="42">
                  <c:v>0.19740306880735395</c:v>
                </c:pt>
                <c:pt idx="43">
                  <c:v>0.20429301462027152</c:v>
                </c:pt>
                <c:pt idx="44">
                  <c:v>0.21240195062156189</c:v>
                </c:pt>
                <c:pt idx="45">
                  <c:v>0.21237628926386443</c:v>
                </c:pt>
                <c:pt idx="46">
                  <c:v>0.21785186261454204</c:v>
                </c:pt>
                <c:pt idx="47">
                  <c:v>0.22425656876352953</c:v>
                </c:pt>
                <c:pt idx="48">
                  <c:v>0.2251684074143134</c:v>
                </c:pt>
                <c:pt idx="49">
                  <c:v>0.22719917542193638</c:v>
                </c:pt>
                <c:pt idx="50">
                  <c:v>0.23221358557293503</c:v>
                </c:pt>
                <c:pt idx="51">
                  <c:v>0.21600759691733945</c:v>
                </c:pt>
                <c:pt idx="52">
                  <c:v>0.22321711336523062</c:v>
                </c:pt>
                <c:pt idx="53">
                  <c:v>0.22482505595598304</c:v>
                </c:pt>
                <c:pt idx="54">
                  <c:v>0.21993143808081161</c:v>
                </c:pt>
                <c:pt idx="55">
                  <c:v>0.22947098780404179</c:v>
                </c:pt>
                <c:pt idx="56">
                  <c:v>0.1976825657204902</c:v>
                </c:pt>
                <c:pt idx="57">
                  <c:v>0.22114877620597717</c:v>
                </c:pt>
                <c:pt idx="58">
                  <c:v>0.23397050311023238</c:v>
                </c:pt>
                <c:pt idx="59">
                  <c:v>0.25317875002995027</c:v>
                </c:pt>
                <c:pt idx="60">
                  <c:v>0.26445887692599734</c:v>
                </c:pt>
                <c:pt idx="61">
                  <c:v>0.27297497405434246</c:v>
                </c:pt>
                <c:pt idx="62">
                  <c:v>0.27185346018793272</c:v>
                </c:pt>
                <c:pt idx="63">
                  <c:v>0.28359804950429246</c:v>
                </c:pt>
                <c:pt idx="64">
                  <c:v>0.27444235134455763</c:v>
                </c:pt>
                <c:pt idx="65">
                  <c:v>0.25632722133848668</c:v>
                </c:pt>
                <c:pt idx="66">
                  <c:v>0.24828907985742169</c:v>
                </c:pt>
                <c:pt idx="67">
                  <c:v>0.25421182045335466</c:v>
                </c:pt>
                <c:pt idx="68">
                  <c:v>0.25982119670270781</c:v>
                </c:pt>
                <c:pt idx="69">
                  <c:v>0.26607003456861122</c:v>
                </c:pt>
                <c:pt idx="70">
                  <c:v>0.2629158185639735</c:v>
                </c:pt>
                <c:pt idx="71">
                  <c:v>0.27162687876705205</c:v>
                </c:pt>
                <c:pt idx="72">
                  <c:v>0.28226515994299628</c:v>
                </c:pt>
                <c:pt idx="73">
                  <c:v>0.28464733626719596</c:v>
                </c:pt>
                <c:pt idx="74">
                  <c:v>0.28745216476051572</c:v>
                </c:pt>
                <c:pt idx="75">
                  <c:v>0.29691019660989032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F2-ED4D-A02B-1D0014F8C7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2618896"/>
        <c:axId val="471425280"/>
      </c:lineChart>
      <c:dateAx>
        <c:axId val="4626188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425280"/>
        <c:crosses val="autoZero"/>
        <c:auto val="1"/>
        <c:lblOffset val="100"/>
        <c:baseTimeUnit val="months"/>
      </c:dateAx>
      <c:valAx>
        <c:axId val="471425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618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 IIP: foreign</a:t>
            </a:r>
            <a:r>
              <a:rPr lang="en-GB" baseline="0"/>
              <a:t> holdings of </a:t>
            </a:r>
            <a:r>
              <a:rPr lang="en-GB"/>
              <a:t>equity &amp; debt</a:t>
            </a:r>
          </a:p>
          <a:p>
            <a:pPr>
              <a:defRPr/>
            </a:pPr>
            <a:r>
              <a:rPr lang="en-GB"/>
              <a:t>(US$ mln)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Sheet1!$C$76</c:f>
              <c:strCache>
                <c:ptCount val="1"/>
                <c:pt idx="0">
                  <c:v>Equity (total)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Sheet1!$D$73:$CA$73</c:f>
              <c:numCache>
                <c:formatCode>mmm\-yy</c:formatCode>
                <c:ptCount val="76"/>
                <c:pt idx="0">
                  <c:v>38777</c:v>
                </c:pt>
                <c:pt idx="1">
                  <c:v>38869</c:v>
                </c:pt>
                <c:pt idx="2">
                  <c:v>38961</c:v>
                </c:pt>
                <c:pt idx="3">
                  <c:v>39052</c:v>
                </c:pt>
                <c:pt idx="4">
                  <c:v>39142</c:v>
                </c:pt>
                <c:pt idx="5">
                  <c:v>39234</c:v>
                </c:pt>
                <c:pt idx="6">
                  <c:v>39326</c:v>
                </c:pt>
                <c:pt idx="7">
                  <c:v>39417</c:v>
                </c:pt>
                <c:pt idx="8">
                  <c:v>39508</c:v>
                </c:pt>
                <c:pt idx="9">
                  <c:v>39600</c:v>
                </c:pt>
                <c:pt idx="10">
                  <c:v>39692</c:v>
                </c:pt>
                <c:pt idx="11">
                  <c:v>39783</c:v>
                </c:pt>
                <c:pt idx="12">
                  <c:v>39873</c:v>
                </c:pt>
                <c:pt idx="13">
                  <c:v>39965</c:v>
                </c:pt>
                <c:pt idx="14">
                  <c:v>40057</c:v>
                </c:pt>
                <c:pt idx="15">
                  <c:v>40148</c:v>
                </c:pt>
                <c:pt idx="16">
                  <c:v>40238</c:v>
                </c:pt>
                <c:pt idx="17">
                  <c:v>40330</c:v>
                </c:pt>
                <c:pt idx="18">
                  <c:v>40422</c:v>
                </c:pt>
                <c:pt idx="19">
                  <c:v>40513</c:v>
                </c:pt>
                <c:pt idx="20">
                  <c:v>40603</c:v>
                </c:pt>
                <c:pt idx="21">
                  <c:v>40695</c:v>
                </c:pt>
                <c:pt idx="22">
                  <c:v>40787</c:v>
                </c:pt>
                <c:pt idx="23">
                  <c:v>40878</c:v>
                </c:pt>
                <c:pt idx="24">
                  <c:v>40969</c:v>
                </c:pt>
                <c:pt idx="25">
                  <c:v>41061</c:v>
                </c:pt>
                <c:pt idx="26">
                  <c:v>41153</c:v>
                </c:pt>
                <c:pt idx="27">
                  <c:v>41244</c:v>
                </c:pt>
                <c:pt idx="28">
                  <c:v>41334</c:v>
                </c:pt>
                <c:pt idx="29">
                  <c:v>41426</c:v>
                </c:pt>
                <c:pt idx="30">
                  <c:v>41518</c:v>
                </c:pt>
                <c:pt idx="31">
                  <c:v>41609</c:v>
                </c:pt>
                <c:pt idx="32">
                  <c:v>41699</c:v>
                </c:pt>
                <c:pt idx="33">
                  <c:v>41791</c:v>
                </c:pt>
                <c:pt idx="34">
                  <c:v>41883</c:v>
                </c:pt>
                <c:pt idx="35">
                  <c:v>41974</c:v>
                </c:pt>
                <c:pt idx="36">
                  <c:v>42064</c:v>
                </c:pt>
                <c:pt idx="37">
                  <c:v>42156</c:v>
                </c:pt>
                <c:pt idx="38">
                  <c:v>42248</c:v>
                </c:pt>
                <c:pt idx="39">
                  <c:v>42339</c:v>
                </c:pt>
                <c:pt idx="40">
                  <c:v>42430</c:v>
                </c:pt>
                <c:pt idx="41">
                  <c:v>42522</c:v>
                </c:pt>
                <c:pt idx="42">
                  <c:v>42614</c:v>
                </c:pt>
                <c:pt idx="43">
                  <c:v>42705</c:v>
                </c:pt>
                <c:pt idx="44">
                  <c:v>42795</c:v>
                </c:pt>
                <c:pt idx="45">
                  <c:v>42887</c:v>
                </c:pt>
                <c:pt idx="46">
                  <c:v>42979</c:v>
                </c:pt>
                <c:pt idx="47">
                  <c:v>43070</c:v>
                </c:pt>
                <c:pt idx="48">
                  <c:v>43160</c:v>
                </c:pt>
                <c:pt idx="49">
                  <c:v>43252</c:v>
                </c:pt>
                <c:pt idx="50">
                  <c:v>43344</c:v>
                </c:pt>
                <c:pt idx="51">
                  <c:v>43435</c:v>
                </c:pt>
                <c:pt idx="52">
                  <c:v>43525</c:v>
                </c:pt>
                <c:pt idx="53">
                  <c:v>43617</c:v>
                </c:pt>
                <c:pt idx="54">
                  <c:v>43709</c:v>
                </c:pt>
                <c:pt idx="55">
                  <c:v>43800</c:v>
                </c:pt>
                <c:pt idx="56">
                  <c:v>43891</c:v>
                </c:pt>
                <c:pt idx="57">
                  <c:v>43983</c:v>
                </c:pt>
                <c:pt idx="58">
                  <c:v>44075</c:v>
                </c:pt>
                <c:pt idx="59">
                  <c:v>44166</c:v>
                </c:pt>
                <c:pt idx="60">
                  <c:v>44256</c:v>
                </c:pt>
                <c:pt idx="61">
                  <c:v>44348</c:v>
                </c:pt>
                <c:pt idx="62">
                  <c:v>44440</c:v>
                </c:pt>
                <c:pt idx="63">
                  <c:v>44531</c:v>
                </c:pt>
                <c:pt idx="64">
                  <c:v>44621</c:v>
                </c:pt>
                <c:pt idx="65">
                  <c:v>44713</c:v>
                </c:pt>
                <c:pt idx="66">
                  <c:v>44805</c:v>
                </c:pt>
                <c:pt idx="67">
                  <c:v>44896</c:v>
                </c:pt>
                <c:pt idx="68">
                  <c:v>44986</c:v>
                </c:pt>
                <c:pt idx="69">
                  <c:v>45078</c:v>
                </c:pt>
                <c:pt idx="70">
                  <c:v>45170</c:v>
                </c:pt>
                <c:pt idx="71">
                  <c:v>45261</c:v>
                </c:pt>
                <c:pt idx="72">
                  <c:v>45352</c:v>
                </c:pt>
                <c:pt idx="73">
                  <c:v>45444</c:v>
                </c:pt>
                <c:pt idx="74">
                  <c:v>45536</c:v>
                </c:pt>
                <c:pt idx="75">
                  <c:v>45627</c:v>
                </c:pt>
              </c:numCache>
            </c:numRef>
          </c:cat>
          <c:val>
            <c:numRef>
              <c:f>Sheet1!$D$76:$CA$76</c:f>
              <c:numCache>
                <c:formatCode>General</c:formatCode>
                <c:ptCount val="76"/>
                <c:pt idx="0">
                  <c:v>5050063</c:v>
                </c:pt>
                <c:pt idx="1">
                  <c:v>5001934</c:v>
                </c:pt>
                <c:pt idx="2">
                  <c:v>5318761</c:v>
                </c:pt>
                <c:pt idx="3">
                  <c:v>5687424</c:v>
                </c:pt>
                <c:pt idx="4">
                  <c:v>5794375</c:v>
                </c:pt>
                <c:pt idx="5">
                  <c:v>6288879</c:v>
                </c:pt>
                <c:pt idx="6">
                  <c:v>6476888</c:v>
                </c:pt>
                <c:pt idx="7">
                  <c:v>6329164</c:v>
                </c:pt>
                <c:pt idx="8">
                  <c:v>5854717</c:v>
                </c:pt>
                <c:pt idx="9">
                  <c:v>5757535</c:v>
                </c:pt>
                <c:pt idx="10">
                  <c:v>5314287</c:v>
                </c:pt>
                <c:pt idx="11">
                  <c:v>4132941</c:v>
                </c:pt>
                <c:pt idx="12">
                  <c:v>3653773</c:v>
                </c:pt>
                <c:pt idx="13">
                  <c:v>4276648</c:v>
                </c:pt>
                <c:pt idx="14">
                  <c:v>5049434</c:v>
                </c:pt>
                <c:pt idx="15">
                  <c:v>5431582</c:v>
                </c:pt>
                <c:pt idx="16">
                  <c:v>5783039</c:v>
                </c:pt>
                <c:pt idx="17">
                  <c:v>5144350</c:v>
                </c:pt>
                <c:pt idx="18">
                  <c:v>5805616</c:v>
                </c:pt>
                <c:pt idx="19">
                  <c:v>6473522</c:v>
                </c:pt>
                <c:pt idx="20">
                  <c:v>6888032</c:v>
                </c:pt>
                <c:pt idx="21">
                  <c:v>6939442</c:v>
                </c:pt>
                <c:pt idx="22">
                  <c:v>6053514</c:v>
                </c:pt>
                <c:pt idx="23">
                  <c:v>6810263</c:v>
                </c:pt>
                <c:pt idx="24">
                  <c:v>7672833</c:v>
                </c:pt>
                <c:pt idx="25">
                  <c:v>7505501</c:v>
                </c:pt>
                <c:pt idx="26">
                  <c:v>7940026</c:v>
                </c:pt>
                <c:pt idx="27">
                  <c:v>7961204</c:v>
                </c:pt>
                <c:pt idx="28">
                  <c:v>8754007</c:v>
                </c:pt>
                <c:pt idx="29">
                  <c:v>8925962</c:v>
                </c:pt>
                <c:pt idx="30">
                  <c:v>9450574</c:v>
                </c:pt>
                <c:pt idx="31">
                  <c:v>10307816</c:v>
                </c:pt>
                <c:pt idx="32">
                  <c:v>10440866</c:v>
                </c:pt>
                <c:pt idx="33">
                  <c:v>10973200</c:v>
                </c:pt>
                <c:pt idx="34">
                  <c:v>11092416</c:v>
                </c:pt>
                <c:pt idx="35">
                  <c:v>11538259</c:v>
                </c:pt>
                <c:pt idx="36">
                  <c:v>11805837</c:v>
                </c:pt>
                <c:pt idx="37">
                  <c:v>11757854</c:v>
                </c:pt>
                <c:pt idx="38">
                  <c:v>10867472</c:v>
                </c:pt>
                <c:pt idx="39">
                  <c:v>11319469</c:v>
                </c:pt>
                <c:pt idx="40">
                  <c:v>11346816</c:v>
                </c:pt>
                <c:pt idx="41">
                  <c:v>11594696</c:v>
                </c:pt>
                <c:pt idx="42">
                  <c:v>12140188</c:v>
                </c:pt>
                <c:pt idx="43">
                  <c:v>12393572</c:v>
                </c:pt>
                <c:pt idx="44">
                  <c:v>13210610</c:v>
                </c:pt>
                <c:pt idx="45">
                  <c:v>13591393</c:v>
                </c:pt>
                <c:pt idx="46">
                  <c:v>14240554</c:v>
                </c:pt>
                <c:pt idx="47">
                  <c:v>15057409</c:v>
                </c:pt>
                <c:pt idx="48">
                  <c:v>15023152</c:v>
                </c:pt>
                <c:pt idx="49">
                  <c:v>15382260</c:v>
                </c:pt>
                <c:pt idx="50">
                  <c:v>16336104</c:v>
                </c:pt>
                <c:pt idx="51">
                  <c:v>14284758</c:v>
                </c:pt>
                <c:pt idx="52">
                  <c:v>15925006</c:v>
                </c:pt>
                <c:pt idx="53">
                  <c:v>16585113</c:v>
                </c:pt>
                <c:pt idx="54">
                  <c:v>16721701</c:v>
                </c:pt>
                <c:pt idx="55">
                  <c:v>18086755</c:v>
                </c:pt>
                <c:pt idx="56">
                  <c:v>14790238</c:v>
                </c:pt>
                <c:pt idx="57">
                  <c:v>17749029</c:v>
                </c:pt>
                <c:pt idx="58">
                  <c:v>19398359</c:v>
                </c:pt>
                <c:pt idx="59">
                  <c:v>22097500</c:v>
                </c:pt>
                <c:pt idx="60">
                  <c:v>23487588</c:v>
                </c:pt>
                <c:pt idx="61">
                  <c:v>25519096</c:v>
                </c:pt>
                <c:pt idx="62">
                  <c:v>25651007</c:v>
                </c:pt>
                <c:pt idx="63">
                  <c:v>28414462</c:v>
                </c:pt>
                <c:pt idx="64">
                  <c:v>26804562</c:v>
                </c:pt>
                <c:pt idx="65">
                  <c:v>22549395</c:v>
                </c:pt>
                <c:pt idx="66">
                  <c:v>21311363</c:v>
                </c:pt>
                <c:pt idx="67">
                  <c:v>22593889</c:v>
                </c:pt>
                <c:pt idx="68">
                  <c:v>24092273</c:v>
                </c:pt>
                <c:pt idx="69">
                  <c:v>25876434</c:v>
                </c:pt>
                <c:pt idx="70">
                  <c:v>25078543</c:v>
                </c:pt>
                <c:pt idx="71">
                  <c:v>27715465</c:v>
                </c:pt>
                <c:pt idx="72">
                  <c:v>30343728</c:v>
                </c:pt>
                <c:pt idx="73">
                  <c:v>31457594</c:v>
                </c:pt>
                <c:pt idx="74">
                  <c:v>33350330</c:v>
                </c:pt>
                <c:pt idx="75" formatCode="_(* #,##0_);_(* \(#,##0\);_(* &quot;-&quot;??_);_(@_)">
                  <c:v>34326206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1B9-2949-8CFC-6F99BDFA004D}"/>
            </c:ext>
          </c:extLst>
        </c:ser>
        <c:ser>
          <c:idx val="4"/>
          <c:order val="1"/>
          <c:tx>
            <c:strRef>
              <c:f>Sheet1!$C$78</c:f>
              <c:strCache>
                <c:ptCount val="1"/>
                <c:pt idx="0">
                  <c:v>Debt (total)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Sheet1!$D$73:$CA$73</c:f>
              <c:numCache>
                <c:formatCode>mmm\-yy</c:formatCode>
                <c:ptCount val="76"/>
                <c:pt idx="0">
                  <c:v>38777</c:v>
                </c:pt>
                <c:pt idx="1">
                  <c:v>38869</c:v>
                </c:pt>
                <c:pt idx="2">
                  <c:v>38961</c:v>
                </c:pt>
                <c:pt idx="3">
                  <c:v>39052</c:v>
                </c:pt>
                <c:pt idx="4">
                  <c:v>39142</c:v>
                </c:pt>
                <c:pt idx="5">
                  <c:v>39234</c:v>
                </c:pt>
                <c:pt idx="6">
                  <c:v>39326</c:v>
                </c:pt>
                <c:pt idx="7">
                  <c:v>39417</c:v>
                </c:pt>
                <c:pt idx="8">
                  <c:v>39508</c:v>
                </c:pt>
                <c:pt idx="9">
                  <c:v>39600</c:v>
                </c:pt>
                <c:pt idx="10">
                  <c:v>39692</c:v>
                </c:pt>
                <c:pt idx="11">
                  <c:v>39783</c:v>
                </c:pt>
                <c:pt idx="12">
                  <c:v>39873</c:v>
                </c:pt>
                <c:pt idx="13">
                  <c:v>39965</c:v>
                </c:pt>
                <c:pt idx="14">
                  <c:v>40057</c:v>
                </c:pt>
                <c:pt idx="15">
                  <c:v>40148</c:v>
                </c:pt>
                <c:pt idx="16">
                  <c:v>40238</c:v>
                </c:pt>
                <c:pt idx="17">
                  <c:v>40330</c:v>
                </c:pt>
                <c:pt idx="18">
                  <c:v>40422</c:v>
                </c:pt>
                <c:pt idx="19">
                  <c:v>40513</c:v>
                </c:pt>
                <c:pt idx="20">
                  <c:v>40603</c:v>
                </c:pt>
                <c:pt idx="21">
                  <c:v>40695</c:v>
                </c:pt>
                <c:pt idx="22">
                  <c:v>40787</c:v>
                </c:pt>
                <c:pt idx="23">
                  <c:v>40878</c:v>
                </c:pt>
                <c:pt idx="24">
                  <c:v>40969</c:v>
                </c:pt>
                <c:pt idx="25">
                  <c:v>41061</c:v>
                </c:pt>
                <c:pt idx="26">
                  <c:v>41153</c:v>
                </c:pt>
                <c:pt idx="27">
                  <c:v>41244</c:v>
                </c:pt>
                <c:pt idx="28">
                  <c:v>41334</c:v>
                </c:pt>
                <c:pt idx="29">
                  <c:v>41426</c:v>
                </c:pt>
                <c:pt idx="30">
                  <c:v>41518</c:v>
                </c:pt>
                <c:pt idx="31">
                  <c:v>41609</c:v>
                </c:pt>
                <c:pt idx="32">
                  <c:v>41699</c:v>
                </c:pt>
                <c:pt idx="33">
                  <c:v>41791</c:v>
                </c:pt>
                <c:pt idx="34">
                  <c:v>41883</c:v>
                </c:pt>
                <c:pt idx="35">
                  <c:v>41974</c:v>
                </c:pt>
                <c:pt idx="36">
                  <c:v>42064</c:v>
                </c:pt>
                <c:pt idx="37">
                  <c:v>42156</c:v>
                </c:pt>
                <c:pt idx="38">
                  <c:v>42248</c:v>
                </c:pt>
                <c:pt idx="39">
                  <c:v>42339</c:v>
                </c:pt>
                <c:pt idx="40">
                  <c:v>42430</c:v>
                </c:pt>
                <c:pt idx="41">
                  <c:v>42522</c:v>
                </c:pt>
                <c:pt idx="42">
                  <c:v>42614</c:v>
                </c:pt>
                <c:pt idx="43">
                  <c:v>42705</c:v>
                </c:pt>
                <c:pt idx="44">
                  <c:v>42795</c:v>
                </c:pt>
                <c:pt idx="45">
                  <c:v>42887</c:v>
                </c:pt>
                <c:pt idx="46">
                  <c:v>42979</c:v>
                </c:pt>
                <c:pt idx="47">
                  <c:v>43070</c:v>
                </c:pt>
                <c:pt idx="48">
                  <c:v>43160</c:v>
                </c:pt>
                <c:pt idx="49">
                  <c:v>43252</c:v>
                </c:pt>
                <c:pt idx="50">
                  <c:v>43344</c:v>
                </c:pt>
                <c:pt idx="51">
                  <c:v>43435</c:v>
                </c:pt>
                <c:pt idx="52">
                  <c:v>43525</c:v>
                </c:pt>
                <c:pt idx="53">
                  <c:v>43617</c:v>
                </c:pt>
                <c:pt idx="54">
                  <c:v>43709</c:v>
                </c:pt>
                <c:pt idx="55">
                  <c:v>43800</c:v>
                </c:pt>
                <c:pt idx="56">
                  <c:v>43891</c:v>
                </c:pt>
                <c:pt idx="57">
                  <c:v>43983</c:v>
                </c:pt>
                <c:pt idx="58">
                  <c:v>44075</c:v>
                </c:pt>
                <c:pt idx="59">
                  <c:v>44166</c:v>
                </c:pt>
                <c:pt idx="60">
                  <c:v>44256</c:v>
                </c:pt>
                <c:pt idx="61">
                  <c:v>44348</c:v>
                </c:pt>
                <c:pt idx="62">
                  <c:v>44440</c:v>
                </c:pt>
                <c:pt idx="63">
                  <c:v>44531</c:v>
                </c:pt>
                <c:pt idx="64">
                  <c:v>44621</c:v>
                </c:pt>
                <c:pt idx="65">
                  <c:v>44713</c:v>
                </c:pt>
                <c:pt idx="66">
                  <c:v>44805</c:v>
                </c:pt>
                <c:pt idx="67">
                  <c:v>44896</c:v>
                </c:pt>
                <c:pt idx="68">
                  <c:v>44986</c:v>
                </c:pt>
                <c:pt idx="69">
                  <c:v>45078</c:v>
                </c:pt>
                <c:pt idx="70">
                  <c:v>45170</c:v>
                </c:pt>
                <c:pt idx="71">
                  <c:v>45261</c:v>
                </c:pt>
                <c:pt idx="72">
                  <c:v>45352</c:v>
                </c:pt>
                <c:pt idx="73">
                  <c:v>45444</c:v>
                </c:pt>
                <c:pt idx="74">
                  <c:v>45536</c:v>
                </c:pt>
                <c:pt idx="75">
                  <c:v>45627</c:v>
                </c:pt>
              </c:numCache>
            </c:numRef>
          </c:cat>
          <c:val>
            <c:numRef>
              <c:f>Sheet1!$D$78:$CA$78</c:f>
              <c:numCache>
                <c:formatCode>General</c:formatCode>
                <c:ptCount val="76"/>
                <c:pt idx="0">
                  <c:v>5939683</c:v>
                </c:pt>
                <c:pt idx="1">
                  <c:v>6192408</c:v>
                </c:pt>
                <c:pt idx="2">
                  <c:v>6594612</c:v>
                </c:pt>
                <c:pt idx="3">
                  <c:v>6908701</c:v>
                </c:pt>
                <c:pt idx="4">
                  <c:v>7336975</c:v>
                </c:pt>
                <c:pt idx="5">
                  <c:v>7592575</c:v>
                </c:pt>
                <c:pt idx="6">
                  <c:v>7795470</c:v>
                </c:pt>
                <c:pt idx="7">
                  <c:v>8132049</c:v>
                </c:pt>
                <c:pt idx="8">
                  <c:v>8431641</c:v>
                </c:pt>
                <c:pt idx="9">
                  <c:v>8481852</c:v>
                </c:pt>
                <c:pt idx="10">
                  <c:v>8276417</c:v>
                </c:pt>
                <c:pt idx="11">
                  <c:v>8434172</c:v>
                </c:pt>
                <c:pt idx="12">
                  <c:v>8354309</c:v>
                </c:pt>
                <c:pt idx="13">
                  <c:v>8497794</c:v>
                </c:pt>
                <c:pt idx="14">
                  <c:v>8699375</c:v>
                </c:pt>
                <c:pt idx="15">
                  <c:v>8650282</c:v>
                </c:pt>
                <c:pt idx="16">
                  <c:v>8796836</c:v>
                </c:pt>
                <c:pt idx="17">
                  <c:v>8996604</c:v>
                </c:pt>
                <c:pt idx="18">
                  <c:v>9511949</c:v>
                </c:pt>
                <c:pt idx="19">
                  <c:v>9494837</c:v>
                </c:pt>
                <c:pt idx="20">
                  <c:v>9610942</c:v>
                </c:pt>
                <c:pt idx="21">
                  <c:v>9809574</c:v>
                </c:pt>
                <c:pt idx="22">
                  <c:v>10066640</c:v>
                </c:pt>
                <c:pt idx="23">
                  <c:v>10036205</c:v>
                </c:pt>
                <c:pt idx="24">
                  <c:v>10183924</c:v>
                </c:pt>
                <c:pt idx="25">
                  <c:v>10282569</c:v>
                </c:pt>
                <c:pt idx="26">
                  <c:v>10560373</c:v>
                </c:pt>
                <c:pt idx="27">
                  <c:v>10680095</c:v>
                </c:pt>
                <c:pt idx="28">
                  <c:v>10865514</c:v>
                </c:pt>
                <c:pt idx="29">
                  <c:v>10688254</c:v>
                </c:pt>
                <c:pt idx="30">
                  <c:v>10839973</c:v>
                </c:pt>
                <c:pt idx="31">
                  <c:v>11048370</c:v>
                </c:pt>
                <c:pt idx="32">
                  <c:v>11271753</c:v>
                </c:pt>
                <c:pt idx="33">
                  <c:v>11470787</c:v>
                </c:pt>
                <c:pt idx="34">
                  <c:v>11589119</c:v>
                </c:pt>
                <c:pt idx="35">
                  <c:v>11762420</c:v>
                </c:pt>
                <c:pt idx="36">
                  <c:v>11970824</c:v>
                </c:pt>
                <c:pt idx="37">
                  <c:v>12107046</c:v>
                </c:pt>
                <c:pt idx="38">
                  <c:v>12029286</c:v>
                </c:pt>
                <c:pt idx="39">
                  <c:v>12055597</c:v>
                </c:pt>
                <c:pt idx="40">
                  <c:v>12357523</c:v>
                </c:pt>
                <c:pt idx="41">
                  <c:v>12629171</c:v>
                </c:pt>
                <c:pt idx="42">
                  <c:v>12748178</c:v>
                </c:pt>
                <c:pt idx="43">
                  <c:v>12476908</c:v>
                </c:pt>
                <c:pt idx="44">
                  <c:v>12589999</c:v>
                </c:pt>
                <c:pt idx="45">
                  <c:v>12952865</c:v>
                </c:pt>
                <c:pt idx="46">
                  <c:v>13210700</c:v>
                </c:pt>
                <c:pt idx="47">
                  <c:v>13176129</c:v>
                </c:pt>
                <c:pt idx="48">
                  <c:v>13137171</c:v>
                </c:pt>
                <c:pt idx="49">
                  <c:v>12999779</c:v>
                </c:pt>
                <c:pt idx="50">
                  <c:v>13040402</c:v>
                </c:pt>
                <c:pt idx="51">
                  <c:v>12952915</c:v>
                </c:pt>
                <c:pt idx="52">
                  <c:v>13334759</c:v>
                </c:pt>
                <c:pt idx="53">
                  <c:v>13605194</c:v>
                </c:pt>
                <c:pt idx="54">
                  <c:v>14125969</c:v>
                </c:pt>
                <c:pt idx="55">
                  <c:v>14131540</c:v>
                </c:pt>
                <c:pt idx="56">
                  <c:v>14119225</c:v>
                </c:pt>
                <c:pt idx="57">
                  <c:v>14633208</c:v>
                </c:pt>
                <c:pt idx="58">
                  <c:v>14796148</c:v>
                </c:pt>
                <c:pt idx="59">
                  <c:v>14949987</c:v>
                </c:pt>
                <c:pt idx="60">
                  <c:v>14798123</c:v>
                </c:pt>
                <c:pt idx="61">
                  <c:v>15167748</c:v>
                </c:pt>
                <c:pt idx="62">
                  <c:v>15230962</c:v>
                </c:pt>
                <c:pt idx="63">
                  <c:v>15423063</c:v>
                </c:pt>
                <c:pt idx="64">
                  <c:v>15055623</c:v>
                </c:pt>
                <c:pt idx="65">
                  <c:v>14482106</c:v>
                </c:pt>
                <c:pt idx="66">
                  <c:v>14161602</c:v>
                </c:pt>
                <c:pt idx="67">
                  <c:v>14356528</c:v>
                </c:pt>
                <c:pt idx="68">
                  <c:v>14783222</c:v>
                </c:pt>
                <c:pt idx="69">
                  <c:v>14979383</c:v>
                </c:pt>
                <c:pt idx="70">
                  <c:v>14972283</c:v>
                </c:pt>
                <c:pt idx="71">
                  <c:v>15710414</c:v>
                </c:pt>
                <c:pt idx="72">
                  <c:v>15950955</c:v>
                </c:pt>
                <c:pt idx="73">
                  <c:v>16140852</c:v>
                </c:pt>
                <c:pt idx="74">
                  <c:v>16920562</c:v>
                </c:pt>
                <c:pt idx="75" formatCode="_(* #,##0_);_(* \(#,##0\);_(* &quot;-&quot;??_);_(@_)">
                  <c:v>16597904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1B9-2949-8CFC-6F99BDFA004D}"/>
            </c:ext>
          </c:extLst>
        </c:ser>
        <c:ser>
          <c:idx val="5"/>
          <c:order val="2"/>
          <c:tx>
            <c:strRef>
              <c:f>Sheet1!$C$80</c:f>
              <c:strCache>
                <c:ptCount val="1"/>
                <c:pt idx="0">
                  <c:v>Debt (Treasuries)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Sheet1!$D$73:$CA$73</c:f>
              <c:numCache>
                <c:formatCode>mmm\-yy</c:formatCode>
                <c:ptCount val="76"/>
                <c:pt idx="0">
                  <c:v>38777</c:v>
                </c:pt>
                <c:pt idx="1">
                  <c:v>38869</c:v>
                </c:pt>
                <c:pt idx="2">
                  <c:v>38961</c:v>
                </c:pt>
                <c:pt idx="3">
                  <c:v>39052</c:v>
                </c:pt>
                <c:pt idx="4">
                  <c:v>39142</c:v>
                </c:pt>
                <c:pt idx="5">
                  <c:v>39234</c:v>
                </c:pt>
                <c:pt idx="6">
                  <c:v>39326</c:v>
                </c:pt>
                <c:pt idx="7">
                  <c:v>39417</c:v>
                </c:pt>
                <c:pt idx="8">
                  <c:v>39508</c:v>
                </c:pt>
                <c:pt idx="9">
                  <c:v>39600</c:v>
                </c:pt>
                <c:pt idx="10">
                  <c:v>39692</c:v>
                </c:pt>
                <c:pt idx="11">
                  <c:v>39783</c:v>
                </c:pt>
                <c:pt idx="12">
                  <c:v>39873</c:v>
                </c:pt>
                <c:pt idx="13">
                  <c:v>39965</c:v>
                </c:pt>
                <c:pt idx="14">
                  <c:v>40057</c:v>
                </c:pt>
                <c:pt idx="15">
                  <c:v>40148</c:v>
                </c:pt>
                <c:pt idx="16">
                  <c:v>40238</c:v>
                </c:pt>
                <c:pt idx="17">
                  <c:v>40330</c:v>
                </c:pt>
                <c:pt idx="18">
                  <c:v>40422</c:v>
                </c:pt>
                <c:pt idx="19">
                  <c:v>40513</c:v>
                </c:pt>
                <c:pt idx="20">
                  <c:v>40603</c:v>
                </c:pt>
                <c:pt idx="21">
                  <c:v>40695</c:v>
                </c:pt>
                <c:pt idx="22">
                  <c:v>40787</c:v>
                </c:pt>
                <c:pt idx="23">
                  <c:v>40878</c:v>
                </c:pt>
                <c:pt idx="24">
                  <c:v>40969</c:v>
                </c:pt>
                <c:pt idx="25">
                  <c:v>41061</c:v>
                </c:pt>
                <c:pt idx="26">
                  <c:v>41153</c:v>
                </c:pt>
                <c:pt idx="27">
                  <c:v>41244</c:v>
                </c:pt>
                <c:pt idx="28">
                  <c:v>41334</c:v>
                </c:pt>
                <c:pt idx="29">
                  <c:v>41426</c:v>
                </c:pt>
                <c:pt idx="30">
                  <c:v>41518</c:v>
                </c:pt>
                <c:pt idx="31">
                  <c:v>41609</c:v>
                </c:pt>
                <c:pt idx="32">
                  <c:v>41699</c:v>
                </c:pt>
                <c:pt idx="33">
                  <c:v>41791</c:v>
                </c:pt>
                <c:pt idx="34">
                  <c:v>41883</c:v>
                </c:pt>
                <c:pt idx="35">
                  <c:v>41974</c:v>
                </c:pt>
                <c:pt idx="36">
                  <c:v>42064</c:v>
                </c:pt>
                <c:pt idx="37">
                  <c:v>42156</c:v>
                </c:pt>
                <c:pt idx="38">
                  <c:v>42248</c:v>
                </c:pt>
                <c:pt idx="39">
                  <c:v>42339</c:v>
                </c:pt>
                <c:pt idx="40">
                  <c:v>42430</c:v>
                </c:pt>
                <c:pt idx="41">
                  <c:v>42522</c:v>
                </c:pt>
                <c:pt idx="42">
                  <c:v>42614</c:v>
                </c:pt>
                <c:pt idx="43">
                  <c:v>42705</c:v>
                </c:pt>
                <c:pt idx="44">
                  <c:v>42795</c:v>
                </c:pt>
                <c:pt idx="45">
                  <c:v>42887</c:v>
                </c:pt>
                <c:pt idx="46">
                  <c:v>42979</c:v>
                </c:pt>
                <c:pt idx="47">
                  <c:v>43070</c:v>
                </c:pt>
                <c:pt idx="48">
                  <c:v>43160</c:v>
                </c:pt>
                <c:pt idx="49">
                  <c:v>43252</c:v>
                </c:pt>
                <c:pt idx="50">
                  <c:v>43344</c:v>
                </c:pt>
                <c:pt idx="51">
                  <c:v>43435</c:v>
                </c:pt>
                <c:pt idx="52">
                  <c:v>43525</c:v>
                </c:pt>
                <c:pt idx="53">
                  <c:v>43617</c:v>
                </c:pt>
                <c:pt idx="54">
                  <c:v>43709</c:v>
                </c:pt>
                <c:pt idx="55">
                  <c:v>43800</c:v>
                </c:pt>
                <c:pt idx="56">
                  <c:v>43891</c:v>
                </c:pt>
                <c:pt idx="57">
                  <c:v>43983</c:v>
                </c:pt>
                <c:pt idx="58">
                  <c:v>44075</c:v>
                </c:pt>
                <c:pt idx="59">
                  <c:v>44166</c:v>
                </c:pt>
                <c:pt idx="60">
                  <c:v>44256</c:v>
                </c:pt>
                <c:pt idx="61">
                  <c:v>44348</c:v>
                </c:pt>
                <c:pt idx="62">
                  <c:v>44440</c:v>
                </c:pt>
                <c:pt idx="63">
                  <c:v>44531</c:v>
                </c:pt>
                <c:pt idx="64">
                  <c:v>44621</c:v>
                </c:pt>
                <c:pt idx="65">
                  <c:v>44713</c:v>
                </c:pt>
                <c:pt idx="66">
                  <c:v>44805</c:v>
                </c:pt>
                <c:pt idx="67">
                  <c:v>44896</c:v>
                </c:pt>
                <c:pt idx="68">
                  <c:v>44986</c:v>
                </c:pt>
                <c:pt idx="69">
                  <c:v>45078</c:v>
                </c:pt>
                <c:pt idx="70">
                  <c:v>45170</c:v>
                </c:pt>
                <c:pt idx="71">
                  <c:v>45261</c:v>
                </c:pt>
                <c:pt idx="72">
                  <c:v>45352</c:v>
                </c:pt>
                <c:pt idx="73">
                  <c:v>45444</c:v>
                </c:pt>
                <c:pt idx="74">
                  <c:v>45536</c:v>
                </c:pt>
                <c:pt idx="75">
                  <c:v>45627</c:v>
                </c:pt>
              </c:numCache>
            </c:numRef>
          </c:cat>
          <c:val>
            <c:numRef>
              <c:f>Sheet1!$D$80:$CA$80</c:f>
              <c:numCache>
                <c:formatCode>General</c:formatCode>
                <c:ptCount val="76"/>
                <c:pt idx="0">
                  <c:v>1994177</c:v>
                </c:pt>
                <c:pt idx="1">
                  <c:v>1980211</c:v>
                </c:pt>
                <c:pt idx="2">
                  <c:v>2056542</c:v>
                </c:pt>
                <c:pt idx="3">
                  <c:v>2126178</c:v>
                </c:pt>
                <c:pt idx="4">
                  <c:v>2221996</c:v>
                </c:pt>
                <c:pt idx="5">
                  <c:v>2193645</c:v>
                </c:pt>
                <c:pt idx="6">
                  <c:v>2248372</c:v>
                </c:pt>
                <c:pt idx="7">
                  <c:v>2376442</c:v>
                </c:pt>
                <c:pt idx="8">
                  <c:v>2556533</c:v>
                </c:pt>
                <c:pt idx="9">
                  <c:v>2587500</c:v>
                </c:pt>
                <c:pt idx="10">
                  <c:v>2833879</c:v>
                </c:pt>
                <c:pt idx="11">
                  <c:v>3252974</c:v>
                </c:pt>
                <c:pt idx="12">
                  <c:v>3417839</c:v>
                </c:pt>
                <c:pt idx="13">
                  <c:v>3461983</c:v>
                </c:pt>
                <c:pt idx="14">
                  <c:v>3585857</c:v>
                </c:pt>
                <c:pt idx="15">
                  <c:v>3670597</c:v>
                </c:pt>
                <c:pt idx="16">
                  <c:v>3861702</c:v>
                </c:pt>
                <c:pt idx="17">
                  <c:v>4069735</c:v>
                </c:pt>
                <c:pt idx="18">
                  <c:v>4409180</c:v>
                </c:pt>
                <c:pt idx="19">
                  <c:v>4458824</c:v>
                </c:pt>
                <c:pt idx="20">
                  <c:v>4540880</c:v>
                </c:pt>
                <c:pt idx="21">
                  <c:v>4690562</c:v>
                </c:pt>
                <c:pt idx="22">
                  <c:v>4974399</c:v>
                </c:pt>
                <c:pt idx="23">
                  <c:v>5004354</c:v>
                </c:pt>
                <c:pt idx="24">
                  <c:v>5145060</c:v>
                </c:pt>
                <c:pt idx="25">
                  <c:v>5310871</c:v>
                </c:pt>
                <c:pt idx="26">
                  <c:v>5472716</c:v>
                </c:pt>
                <c:pt idx="27">
                  <c:v>5571482</c:v>
                </c:pt>
                <c:pt idx="28">
                  <c:v>5721311</c:v>
                </c:pt>
                <c:pt idx="29">
                  <c:v>5595017</c:v>
                </c:pt>
                <c:pt idx="30">
                  <c:v>5652820</c:v>
                </c:pt>
                <c:pt idx="31">
                  <c:v>5792616</c:v>
                </c:pt>
                <c:pt idx="32">
                  <c:v>5948311</c:v>
                </c:pt>
                <c:pt idx="33">
                  <c:v>6018693</c:v>
                </c:pt>
                <c:pt idx="34">
                  <c:v>6069151</c:v>
                </c:pt>
                <c:pt idx="35">
                  <c:v>6157966</c:v>
                </c:pt>
                <c:pt idx="36">
                  <c:v>6172631</c:v>
                </c:pt>
                <c:pt idx="37">
                  <c:v>6163141</c:v>
                </c:pt>
                <c:pt idx="38">
                  <c:v>6105885</c:v>
                </c:pt>
                <c:pt idx="39">
                  <c:v>6146221</c:v>
                </c:pt>
                <c:pt idx="40">
                  <c:v>6284434</c:v>
                </c:pt>
                <c:pt idx="41">
                  <c:v>6279053</c:v>
                </c:pt>
                <c:pt idx="42">
                  <c:v>6155875</c:v>
                </c:pt>
                <c:pt idx="43">
                  <c:v>6002797</c:v>
                </c:pt>
                <c:pt idx="44">
                  <c:v>6075334</c:v>
                </c:pt>
                <c:pt idx="45">
                  <c:v>6151906</c:v>
                </c:pt>
                <c:pt idx="46">
                  <c:v>6301939</c:v>
                </c:pt>
                <c:pt idx="47">
                  <c:v>6211279</c:v>
                </c:pt>
                <c:pt idx="48">
                  <c:v>6223434</c:v>
                </c:pt>
                <c:pt idx="49">
                  <c:v>6225015</c:v>
                </c:pt>
                <c:pt idx="50">
                  <c:v>6225896</c:v>
                </c:pt>
                <c:pt idx="51">
                  <c:v>6270130</c:v>
                </c:pt>
                <c:pt idx="52">
                  <c:v>6473999</c:v>
                </c:pt>
                <c:pt idx="53">
                  <c:v>6625860</c:v>
                </c:pt>
                <c:pt idx="54">
                  <c:v>6960290</c:v>
                </c:pt>
                <c:pt idx="55">
                  <c:v>6917822</c:v>
                </c:pt>
                <c:pt idx="56">
                  <c:v>7059898</c:v>
                </c:pt>
                <c:pt idx="57">
                  <c:v>7199344</c:v>
                </c:pt>
                <c:pt idx="58">
                  <c:v>7253228</c:v>
                </c:pt>
                <c:pt idx="59">
                  <c:v>7291566</c:v>
                </c:pt>
                <c:pt idx="60">
                  <c:v>7295920</c:v>
                </c:pt>
                <c:pt idx="61">
                  <c:v>7518880</c:v>
                </c:pt>
                <c:pt idx="62">
                  <c:v>7570896</c:v>
                </c:pt>
                <c:pt idx="63">
                  <c:v>7740370</c:v>
                </c:pt>
                <c:pt idx="64">
                  <c:v>7604400</c:v>
                </c:pt>
                <c:pt idx="65">
                  <c:v>7416943</c:v>
                </c:pt>
                <c:pt idx="66">
                  <c:v>7251508</c:v>
                </c:pt>
                <c:pt idx="67">
                  <c:v>7294065</c:v>
                </c:pt>
                <c:pt idx="68">
                  <c:v>7563126</c:v>
                </c:pt>
                <c:pt idx="69">
                  <c:v>7627150</c:v>
                </c:pt>
                <c:pt idx="70">
                  <c:v>7610578</c:v>
                </c:pt>
                <c:pt idx="71">
                  <c:v>7946509</c:v>
                </c:pt>
                <c:pt idx="72">
                  <c:v>8114836</c:v>
                </c:pt>
                <c:pt idx="73">
                  <c:v>8210632</c:v>
                </c:pt>
                <c:pt idx="74">
                  <c:v>8678485</c:v>
                </c:pt>
                <c:pt idx="75">
                  <c:v>8512857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1B9-2949-8CFC-6F99BDFA004D}"/>
            </c:ext>
          </c:extLst>
        </c:ser>
        <c:ser>
          <c:idx val="0"/>
          <c:order val="3"/>
          <c:tx>
            <c:strRef>
              <c:f>Sheet1!$C$74</c:f>
              <c:strCache>
                <c:ptCount val="1"/>
                <c:pt idx="0">
                  <c:v>Net International Investment Position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Sheet1!$D$73:$CA$73</c:f>
              <c:numCache>
                <c:formatCode>mmm\-yy</c:formatCode>
                <c:ptCount val="76"/>
                <c:pt idx="0">
                  <c:v>38777</c:v>
                </c:pt>
                <c:pt idx="1">
                  <c:v>38869</c:v>
                </c:pt>
                <c:pt idx="2">
                  <c:v>38961</c:v>
                </c:pt>
                <c:pt idx="3">
                  <c:v>39052</c:v>
                </c:pt>
                <c:pt idx="4">
                  <c:v>39142</c:v>
                </c:pt>
                <c:pt idx="5">
                  <c:v>39234</c:v>
                </c:pt>
                <c:pt idx="6">
                  <c:v>39326</c:v>
                </c:pt>
                <c:pt idx="7">
                  <c:v>39417</c:v>
                </c:pt>
                <c:pt idx="8">
                  <c:v>39508</c:v>
                </c:pt>
                <c:pt idx="9">
                  <c:v>39600</c:v>
                </c:pt>
                <c:pt idx="10">
                  <c:v>39692</c:v>
                </c:pt>
                <c:pt idx="11">
                  <c:v>39783</c:v>
                </c:pt>
                <c:pt idx="12">
                  <c:v>39873</c:v>
                </c:pt>
                <c:pt idx="13">
                  <c:v>39965</c:v>
                </c:pt>
                <c:pt idx="14">
                  <c:v>40057</c:v>
                </c:pt>
                <c:pt idx="15">
                  <c:v>40148</c:v>
                </c:pt>
                <c:pt idx="16">
                  <c:v>40238</c:v>
                </c:pt>
                <c:pt idx="17">
                  <c:v>40330</c:v>
                </c:pt>
                <c:pt idx="18">
                  <c:v>40422</c:v>
                </c:pt>
                <c:pt idx="19">
                  <c:v>40513</c:v>
                </c:pt>
                <c:pt idx="20">
                  <c:v>40603</c:v>
                </c:pt>
                <c:pt idx="21">
                  <c:v>40695</c:v>
                </c:pt>
                <c:pt idx="22">
                  <c:v>40787</c:v>
                </c:pt>
                <c:pt idx="23">
                  <c:v>40878</c:v>
                </c:pt>
                <c:pt idx="24">
                  <c:v>40969</c:v>
                </c:pt>
                <c:pt idx="25">
                  <c:v>41061</c:v>
                </c:pt>
                <c:pt idx="26">
                  <c:v>41153</c:v>
                </c:pt>
                <c:pt idx="27">
                  <c:v>41244</c:v>
                </c:pt>
                <c:pt idx="28">
                  <c:v>41334</c:v>
                </c:pt>
                <c:pt idx="29">
                  <c:v>41426</c:v>
                </c:pt>
                <c:pt idx="30">
                  <c:v>41518</c:v>
                </c:pt>
                <c:pt idx="31">
                  <c:v>41609</c:v>
                </c:pt>
                <c:pt idx="32">
                  <c:v>41699</c:v>
                </c:pt>
                <c:pt idx="33">
                  <c:v>41791</c:v>
                </c:pt>
                <c:pt idx="34">
                  <c:v>41883</c:v>
                </c:pt>
                <c:pt idx="35">
                  <c:v>41974</c:v>
                </c:pt>
                <c:pt idx="36">
                  <c:v>42064</c:v>
                </c:pt>
                <c:pt idx="37">
                  <c:v>42156</c:v>
                </c:pt>
                <c:pt idx="38">
                  <c:v>42248</c:v>
                </c:pt>
                <c:pt idx="39">
                  <c:v>42339</c:v>
                </c:pt>
                <c:pt idx="40">
                  <c:v>42430</c:v>
                </c:pt>
                <c:pt idx="41">
                  <c:v>42522</c:v>
                </c:pt>
                <c:pt idx="42">
                  <c:v>42614</c:v>
                </c:pt>
                <c:pt idx="43">
                  <c:v>42705</c:v>
                </c:pt>
                <c:pt idx="44">
                  <c:v>42795</c:v>
                </c:pt>
                <c:pt idx="45">
                  <c:v>42887</c:v>
                </c:pt>
                <c:pt idx="46">
                  <c:v>42979</c:v>
                </c:pt>
                <c:pt idx="47">
                  <c:v>43070</c:v>
                </c:pt>
                <c:pt idx="48">
                  <c:v>43160</c:v>
                </c:pt>
                <c:pt idx="49">
                  <c:v>43252</c:v>
                </c:pt>
                <c:pt idx="50">
                  <c:v>43344</c:v>
                </c:pt>
                <c:pt idx="51">
                  <c:v>43435</c:v>
                </c:pt>
                <c:pt idx="52">
                  <c:v>43525</c:v>
                </c:pt>
                <c:pt idx="53">
                  <c:v>43617</c:v>
                </c:pt>
                <c:pt idx="54">
                  <c:v>43709</c:v>
                </c:pt>
                <c:pt idx="55">
                  <c:v>43800</c:v>
                </c:pt>
                <c:pt idx="56">
                  <c:v>43891</c:v>
                </c:pt>
                <c:pt idx="57">
                  <c:v>43983</c:v>
                </c:pt>
                <c:pt idx="58">
                  <c:v>44075</c:v>
                </c:pt>
                <c:pt idx="59">
                  <c:v>44166</c:v>
                </c:pt>
                <c:pt idx="60">
                  <c:v>44256</c:v>
                </c:pt>
                <c:pt idx="61">
                  <c:v>44348</c:v>
                </c:pt>
                <c:pt idx="62">
                  <c:v>44440</c:v>
                </c:pt>
                <c:pt idx="63">
                  <c:v>44531</c:v>
                </c:pt>
                <c:pt idx="64">
                  <c:v>44621</c:v>
                </c:pt>
                <c:pt idx="65">
                  <c:v>44713</c:v>
                </c:pt>
                <c:pt idx="66">
                  <c:v>44805</c:v>
                </c:pt>
                <c:pt idx="67">
                  <c:v>44896</c:v>
                </c:pt>
                <c:pt idx="68">
                  <c:v>44986</c:v>
                </c:pt>
                <c:pt idx="69">
                  <c:v>45078</c:v>
                </c:pt>
                <c:pt idx="70">
                  <c:v>45170</c:v>
                </c:pt>
                <c:pt idx="71">
                  <c:v>45261</c:v>
                </c:pt>
                <c:pt idx="72">
                  <c:v>45352</c:v>
                </c:pt>
                <c:pt idx="73">
                  <c:v>45444</c:v>
                </c:pt>
                <c:pt idx="74">
                  <c:v>45536</c:v>
                </c:pt>
                <c:pt idx="75">
                  <c:v>45627</c:v>
                </c:pt>
              </c:numCache>
            </c:numRef>
          </c:cat>
          <c:val>
            <c:numRef>
              <c:f>Sheet1!$D$74:$CA$74</c:f>
              <c:numCache>
                <c:formatCode>General</c:formatCode>
                <c:ptCount val="76"/>
                <c:pt idx="0" formatCode="_(* #,##0_);_(* \(#,##0\);_(* &quot;-&quot;??_);_(@_)">
                  <c:v>1655616</c:v>
                </c:pt>
                <c:pt idx="1">
                  <c:v>1678770</c:v>
                </c:pt>
                <c:pt idx="2">
                  <c:v>2005759</c:v>
                </c:pt>
                <c:pt idx="3">
                  <c:v>1807819</c:v>
                </c:pt>
                <c:pt idx="4">
                  <c:v>1654166</c:v>
                </c:pt>
                <c:pt idx="5">
                  <c:v>1421382</c:v>
                </c:pt>
                <c:pt idx="6">
                  <c:v>1231443</c:v>
                </c:pt>
                <c:pt idx="7">
                  <c:v>1278830</c:v>
                </c:pt>
                <c:pt idx="8">
                  <c:v>1849030</c:v>
                </c:pt>
                <c:pt idx="9">
                  <c:v>1834418</c:v>
                </c:pt>
                <c:pt idx="10">
                  <c:v>3309018</c:v>
                </c:pt>
                <c:pt idx="11">
                  <c:v>3994625</c:v>
                </c:pt>
                <c:pt idx="12">
                  <c:v>3856030</c:v>
                </c:pt>
                <c:pt idx="13">
                  <c:v>3199376</c:v>
                </c:pt>
                <c:pt idx="14">
                  <c:v>2669479</c:v>
                </c:pt>
                <c:pt idx="15">
                  <c:v>2626940</c:v>
                </c:pt>
                <c:pt idx="16">
                  <c:v>2769046</c:v>
                </c:pt>
                <c:pt idx="17">
                  <c:v>3180635</c:v>
                </c:pt>
                <c:pt idx="18">
                  <c:v>2746288</c:v>
                </c:pt>
                <c:pt idx="19">
                  <c:v>2511072</c:v>
                </c:pt>
                <c:pt idx="20">
                  <c:v>2638416</c:v>
                </c:pt>
                <c:pt idx="21">
                  <c:v>2785304</c:v>
                </c:pt>
                <c:pt idx="22">
                  <c:v>4134034</c:v>
                </c:pt>
                <c:pt idx="23">
                  <c:v>4454616</c:v>
                </c:pt>
                <c:pt idx="24">
                  <c:v>4604772</c:v>
                </c:pt>
                <c:pt idx="25">
                  <c:v>5259919</c:v>
                </c:pt>
                <c:pt idx="26">
                  <c:v>5000197</c:v>
                </c:pt>
                <c:pt idx="27">
                  <c:v>4569528</c:v>
                </c:pt>
                <c:pt idx="28">
                  <c:v>5094143</c:v>
                </c:pt>
                <c:pt idx="29">
                  <c:v>5527281</c:v>
                </c:pt>
                <c:pt idx="30">
                  <c:v>4994325</c:v>
                </c:pt>
                <c:pt idx="31">
                  <c:v>5443587</c:v>
                </c:pt>
                <c:pt idx="32">
                  <c:v>5503555</c:v>
                </c:pt>
                <c:pt idx="33">
                  <c:v>5490052</c:v>
                </c:pt>
                <c:pt idx="34">
                  <c:v>6206947</c:v>
                </c:pt>
                <c:pt idx="35">
                  <c:v>7021188</c:v>
                </c:pt>
                <c:pt idx="36">
                  <c:v>6960663</c:v>
                </c:pt>
                <c:pt idx="37">
                  <c:v>6874739</c:v>
                </c:pt>
                <c:pt idx="38">
                  <c:v>7427021</c:v>
                </c:pt>
                <c:pt idx="39">
                  <c:v>7590470</c:v>
                </c:pt>
                <c:pt idx="40">
                  <c:v>7886675</c:v>
                </c:pt>
                <c:pt idx="41">
                  <c:v>8340977</c:v>
                </c:pt>
                <c:pt idx="42">
                  <c:v>8104523</c:v>
                </c:pt>
                <c:pt idx="43">
                  <c:v>8258387</c:v>
                </c:pt>
                <c:pt idx="44">
                  <c:v>8091781</c:v>
                </c:pt>
                <c:pt idx="45">
                  <c:v>7959439</c:v>
                </c:pt>
                <c:pt idx="46">
                  <c:v>7743743</c:v>
                </c:pt>
                <c:pt idx="47">
                  <c:v>7830723</c:v>
                </c:pt>
                <c:pt idx="48">
                  <c:v>7944390</c:v>
                </c:pt>
                <c:pt idx="49">
                  <c:v>8915229</c:v>
                </c:pt>
                <c:pt idx="50">
                  <c:v>9668234</c:v>
                </c:pt>
                <c:pt idx="51">
                  <c:v>9795821</c:v>
                </c:pt>
                <c:pt idx="52">
                  <c:v>10349908</c:v>
                </c:pt>
                <c:pt idx="53">
                  <c:v>10738701</c:v>
                </c:pt>
                <c:pt idx="54">
                  <c:v>11520386</c:v>
                </c:pt>
                <c:pt idx="55">
                  <c:v>11666440</c:v>
                </c:pt>
                <c:pt idx="56">
                  <c:v>12608703</c:v>
                </c:pt>
                <c:pt idx="57">
                  <c:v>13599447</c:v>
                </c:pt>
                <c:pt idx="58">
                  <c:v>14460621</c:v>
                </c:pt>
                <c:pt idx="59">
                  <c:v>14721004</c:v>
                </c:pt>
                <c:pt idx="60">
                  <c:v>15050086</c:v>
                </c:pt>
                <c:pt idx="61">
                  <c:v>16098813</c:v>
                </c:pt>
                <c:pt idx="62">
                  <c:v>16448862</c:v>
                </c:pt>
                <c:pt idx="63">
                  <c:v>18832520</c:v>
                </c:pt>
                <c:pt idx="64">
                  <c:v>18340500</c:v>
                </c:pt>
                <c:pt idx="65">
                  <c:v>16640751</c:v>
                </c:pt>
                <c:pt idx="66">
                  <c:v>16859325</c:v>
                </c:pt>
                <c:pt idx="67">
                  <c:v>16263908</c:v>
                </c:pt>
                <c:pt idx="68">
                  <c:v>16933306</c:v>
                </c:pt>
                <c:pt idx="69">
                  <c:v>18249600</c:v>
                </c:pt>
                <c:pt idx="70">
                  <c:v>18297214</c:v>
                </c:pt>
                <c:pt idx="71">
                  <c:v>19853154</c:v>
                </c:pt>
                <c:pt idx="72">
                  <c:v>21288760</c:v>
                </c:pt>
                <c:pt idx="73">
                  <c:v>22545897</c:v>
                </c:pt>
                <c:pt idx="74">
                  <c:v>24153554</c:v>
                </c:pt>
                <c:pt idx="75">
                  <c:v>26232125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1B9-2949-8CFC-6F99BDFA0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8241856"/>
        <c:axId val="296373568"/>
      </c:lineChart>
      <c:dateAx>
        <c:axId val="46824185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6373568"/>
        <c:crosses val="autoZero"/>
        <c:auto val="1"/>
        <c:lblOffset val="100"/>
        <c:baseTimeUnit val="months"/>
      </c:dateAx>
      <c:valAx>
        <c:axId val="296373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241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Sheet1!$C$91</c:f>
              <c:strCache>
                <c:ptCount val="1"/>
                <c:pt idx="0">
                  <c:v>Total Equity / Total Debt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Sheet1!$D$90:$CA$90</c:f>
              <c:numCache>
                <c:formatCode>mmm\-yy</c:formatCode>
                <c:ptCount val="76"/>
                <c:pt idx="0">
                  <c:v>38777</c:v>
                </c:pt>
                <c:pt idx="1">
                  <c:v>38869</c:v>
                </c:pt>
                <c:pt idx="2">
                  <c:v>38961</c:v>
                </c:pt>
                <c:pt idx="3">
                  <c:v>39052</c:v>
                </c:pt>
                <c:pt idx="4">
                  <c:v>39142</c:v>
                </c:pt>
                <c:pt idx="5">
                  <c:v>39234</c:v>
                </c:pt>
                <c:pt idx="6">
                  <c:v>39326</c:v>
                </c:pt>
                <c:pt idx="7">
                  <c:v>39417</c:v>
                </c:pt>
                <c:pt idx="8">
                  <c:v>39508</c:v>
                </c:pt>
                <c:pt idx="9">
                  <c:v>39600</c:v>
                </c:pt>
                <c:pt idx="10">
                  <c:v>39692</c:v>
                </c:pt>
                <c:pt idx="11">
                  <c:v>39783</c:v>
                </c:pt>
                <c:pt idx="12">
                  <c:v>39873</c:v>
                </c:pt>
                <c:pt idx="13">
                  <c:v>39965</c:v>
                </c:pt>
                <c:pt idx="14">
                  <c:v>40057</c:v>
                </c:pt>
                <c:pt idx="15">
                  <c:v>40148</c:v>
                </c:pt>
                <c:pt idx="16">
                  <c:v>40238</c:v>
                </c:pt>
                <c:pt idx="17">
                  <c:v>40330</c:v>
                </c:pt>
                <c:pt idx="18">
                  <c:v>40422</c:v>
                </c:pt>
                <c:pt idx="19">
                  <c:v>40513</c:v>
                </c:pt>
                <c:pt idx="20">
                  <c:v>40603</c:v>
                </c:pt>
                <c:pt idx="21">
                  <c:v>40695</c:v>
                </c:pt>
                <c:pt idx="22">
                  <c:v>40787</c:v>
                </c:pt>
                <c:pt idx="23">
                  <c:v>40878</c:v>
                </c:pt>
                <c:pt idx="24">
                  <c:v>40969</c:v>
                </c:pt>
                <c:pt idx="25">
                  <c:v>41061</c:v>
                </c:pt>
                <c:pt idx="26">
                  <c:v>41153</c:v>
                </c:pt>
                <c:pt idx="27">
                  <c:v>41244</c:v>
                </c:pt>
                <c:pt idx="28">
                  <c:v>41334</c:v>
                </c:pt>
                <c:pt idx="29">
                  <c:v>41426</c:v>
                </c:pt>
                <c:pt idx="30">
                  <c:v>41518</c:v>
                </c:pt>
                <c:pt idx="31">
                  <c:v>41609</c:v>
                </c:pt>
                <c:pt idx="32">
                  <c:v>41699</c:v>
                </c:pt>
                <c:pt idx="33">
                  <c:v>41791</c:v>
                </c:pt>
                <c:pt idx="34">
                  <c:v>41883</c:v>
                </c:pt>
                <c:pt idx="35">
                  <c:v>41974</c:v>
                </c:pt>
                <c:pt idx="36">
                  <c:v>42064</c:v>
                </c:pt>
                <c:pt idx="37">
                  <c:v>42156</c:v>
                </c:pt>
                <c:pt idx="38">
                  <c:v>42248</c:v>
                </c:pt>
                <c:pt idx="39">
                  <c:v>42339</c:v>
                </c:pt>
                <c:pt idx="40">
                  <c:v>42430</c:v>
                </c:pt>
                <c:pt idx="41">
                  <c:v>42522</c:v>
                </c:pt>
                <c:pt idx="42">
                  <c:v>42614</c:v>
                </c:pt>
                <c:pt idx="43">
                  <c:v>42705</c:v>
                </c:pt>
                <c:pt idx="44">
                  <c:v>42795</c:v>
                </c:pt>
                <c:pt idx="45">
                  <c:v>42887</c:v>
                </c:pt>
                <c:pt idx="46">
                  <c:v>42979</c:v>
                </c:pt>
                <c:pt idx="47">
                  <c:v>43070</c:v>
                </c:pt>
                <c:pt idx="48">
                  <c:v>43160</c:v>
                </c:pt>
                <c:pt idx="49">
                  <c:v>43252</c:v>
                </c:pt>
                <c:pt idx="50">
                  <c:v>43344</c:v>
                </c:pt>
                <c:pt idx="51">
                  <c:v>43435</c:v>
                </c:pt>
                <c:pt idx="52">
                  <c:v>43525</c:v>
                </c:pt>
                <c:pt idx="53">
                  <c:v>43617</c:v>
                </c:pt>
                <c:pt idx="54">
                  <c:v>43709</c:v>
                </c:pt>
                <c:pt idx="55">
                  <c:v>43800</c:v>
                </c:pt>
                <c:pt idx="56">
                  <c:v>43891</c:v>
                </c:pt>
                <c:pt idx="57">
                  <c:v>43983</c:v>
                </c:pt>
                <c:pt idx="58">
                  <c:v>44075</c:v>
                </c:pt>
                <c:pt idx="59">
                  <c:v>44166</c:v>
                </c:pt>
                <c:pt idx="60">
                  <c:v>44256</c:v>
                </c:pt>
                <c:pt idx="61">
                  <c:v>44348</c:v>
                </c:pt>
                <c:pt idx="62">
                  <c:v>44440</c:v>
                </c:pt>
                <c:pt idx="63">
                  <c:v>44531</c:v>
                </c:pt>
                <c:pt idx="64">
                  <c:v>44621</c:v>
                </c:pt>
                <c:pt idx="65">
                  <c:v>44713</c:v>
                </c:pt>
                <c:pt idx="66">
                  <c:v>44805</c:v>
                </c:pt>
                <c:pt idx="67">
                  <c:v>44896</c:v>
                </c:pt>
                <c:pt idx="68">
                  <c:v>44986</c:v>
                </c:pt>
                <c:pt idx="69">
                  <c:v>45078</c:v>
                </c:pt>
                <c:pt idx="70">
                  <c:v>45170</c:v>
                </c:pt>
                <c:pt idx="71">
                  <c:v>45261</c:v>
                </c:pt>
                <c:pt idx="72">
                  <c:v>45352</c:v>
                </c:pt>
                <c:pt idx="73">
                  <c:v>45444</c:v>
                </c:pt>
                <c:pt idx="74">
                  <c:v>45536</c:v>
                </c:pt>
                <c:pt idx="75">
                  <c:v>45627</c:v>
                </c:pt>
              </c:numCache>
            </c:numRef>
          </c:cat>
          <c:val>
            <c:numRef>
              <c:f>Sheet1!$D$91:$CA$91</c:f>
              <c:numCache>
                <c:formatCode>0%</c:formatCode>
                <c:ptCount val="76"/>
                <c:pt idx="0">
                  <c:v>0.85022433015364629</c:v>
                </c:pt>
                <c:pt idx="1">
                  <c:v>0.80775265454085066</c:v>
                </c:pt>
                <c:pt idx="2">
                  <c:v>0.80653130161410558</c:v>
                </c:pt>
                <c:pt idx="3">
                  <c:v>0.82322624759705187</c:v>
                </c:pt>
                <c:pt idx="4">
                  <c:v>0.78974986285219728</c:v>
                </c:pt>
                <c:pt idx="5">
                  <c:v>0.82829329970398713</c:v>
                </c:pt>
                <c:pt idx="6">
                  <c:v>0.83085279014607205</c:v>
                </c:pt>
                <c:pt idx="7">
                  <c:v>0.77829880267568485</c:v>
                </c:pt>
                <c:pt idx="8">
                  <c:v>0.69437455887887067</c:v>
                </c:pt>
                <c:pt idx="9">
                  <c:v>0.67880635031122916</c:v>
                </c:pt>
                <c:pt idx="10">
                  <c:v>0.64209995702246514</c:v>
                </c:pt>
                <c:pt idx="11">
                  <c:v>0.49002332416270383</c:v>
                </c:pt>
                <c:pt idx="12">
                  <c:v>0.43735191025373854</c:v>
                </c:pt>
                <c:pt idx="13">
                  <c:v>0.50326567106710285</c:v>
                </c:pt>
                <c:pt idx="14">
                  <c:v>0.5804364106616855</c:v>
                </c:pt>
                <c:pt idx="15">
                  <c:v>0.62790808438383861</c:v>
                </c:pt>
                <c:pt idx="16">
                  <c:v>0.65739988786877468</c:v>
                </c:pt>
                <c:pt idx="17">
                  <c:v>0.57181020749607292</c:v>
                </c:pt>
                <c:pt idx="18">
                  <c:v>0.6103497821529531</c:v>
                </c:pt>
                <c:pt idx="19">
                  <c:v>0.68179390546672891</c:v>
                </c:pt>
                <c:pt idx="20">
                  <c:v>0.71668646007852299</c:v>
                </c:pt>
                <c:pt idx="21">
                  <c:v>0.70741522516676059</c:v>
                </c:pt>
                <c:pt idx="22">
                  <c:v>0.60134404329547897</c:v>
                </c:pt>
                <c:pt idx="23">
                  <c:v>0.67856953898410799</c:v>
                </c:pt>
                <c:pt idx="24">
                  <c:v>0.75342598786086779</c:v>
                </c:pt>
                <c:pt idx="25">
                  <c:v>0.72992469099891277</c:v>
                </c:pt>
                <c:pt idx="26">
                  <c:v>0.75186984399130596</c:v>
                </c:pt>
                <c:pt idx="27">
                  <c:v>0.74542445549407566</c:v>
                </c:pt>
                <c:pt idx="28">
                  <c:v>0.80566892647692512</c:v>
                </c:pt>
                <c:pt idx="29">
                  <c:v>0.8351188136060389</c:v>
                </c:pt>
                <c:pt idx="30">
                  <c:v>0.87182634126487213</c:v>
                </c:pt>
                <c:pt idx="31">
                  <c:v>0.93297165102182489</c:v>
                </c:pt>
                <c:pt idx="32">
                  <c:v>0.92628591133961147</c:v>
                </c:pt>
                <c:pt idx="33">
                  <c:v>0.9566213721865815</c:v>
                </c:pt>
                <c:pt idx="34">
                  <c:v>0.95714057298056909</c:v>
                </c:pt>
                <c:pt idx="35">
                  <c:v>0.9809426121495407</c:v>
                </c:pt>
                <c:pt idx="36">
                  <c:v>0.98621757366076057</c:v>
                </c:pt>
                <c:pt idx="37">
                  <c:v>0.97115795215447265</c:v>
                </c:pt>
                <c:pt idx="38">
                  <c:v>0.90341787534189477</c:v>
                </c:pt>
                <c:pt idx="39">
                  <c:v>0.93893890115935363</c:v>
                </c:pt>
                <c:pt idx="40">
                  <c:v>0.91821119815030894</c:v>
                </c:pt>
                <c:pt idx="41">
                  <c:v>0.91808844776905785</c:v>
                </c:pt>
                <c:pt idx="42">
                  <c:v>0.95230769447994845</c:v>
                </c:pt>
                <c:pt idx="43">
                  <c:v>0.99332078107813249</c:v>
                </c:pt>
                <c:pt idx="44">
                  <c:v>1.049293967378393</c:v>
                </c:pt>
                <c:pt idx="45">
                  <c:v>1.0492962753800028</c:v>
                </c:pt>
                <c:pt idx="46">
                  <c:v>1.0779560507770216</c:v>
                </c:pt>
                <c:pt idx="47">
                  <c:v>1.142779415714585</c:v>
                </c:pt>
                <c:pt idx="48">
                  <c:v>1.1435606646210208</c:v>
                </c:pt>
                <c:pt idx="49">
                  <c:v>1.1832708848358113</c:v>
                </c:pt>
                <c:pt idx="50">
                  <c:v>1.2527300922164823</c:v>
                </c:pt>
                <c:pt idx="51">
                  <c:v>1.1028218744583749</c:v>
                </c:pt>
                <c:pt idx="52">
                  <c:v>1.1942477550587904</c:v>
                </c:pt>
                <c:pt idx="53">
                  <c:v>1.2190280417905104</c:v>
                </c:pt>
                <c:pt idx="54">
                  <c:v>1.1837560311791708</c:v>
                </c:pt>
                <c:pt idx="55">
                  <c:v>1.2798856317145901</c:v>
                </c:pt>
                <c:pt idx="56">
                  <c:v>1.0475247756162254</c:v>
                </c:pt>
                <c:pt idx="57">
                  <c:v>1.2129280879489992</c:v>
                </c:pt>
                <c:pt idx="58">
                  <c:v>1.3110411574688223</c:v>
                </c:pt>
                <c:pt idx="59">
                  <c:v>1.4780949307848896</c:v>
                </c:pt>
                <c:pt idx="60">
                  <c:v>1.5872004848182435</c:v>
                </c:pt>
                <c:pt idx="61">
                  <c:v>1.6824578045468583</c:v>
                </c:pt>
                <c:pt idx="62">
                  <c:v>1.6841357098783387</c:v>
                </c:pt>
                <c:pt idx="63">
                  <c:v>1.8423358576697768</c:v>
                </c:pt>
                <c:pt idx="64">
                  <c:v>1.7803688362813017</c:v>
                </c:pt>
                <c:pt idx="65">
                  <c:v>1.5570521994522069</c:v>
                </c:pt>
                <c:pt idx="66">
                  <c:v>1.5048695055827723</c:v>
                </c:pt>
                <c:pt idx="67">
                  <c:v>1.5737711095607518</c:v>
                </c:pt>
                <c:pt idx="68">
                  <c:v>1.6297037952890108</c:v>
                </c:pt>
                <c:pt idx="69">
                  <c:v>1.727469949863756</c:v>
                </c:pt>
                <c:pt idx="70">
                  <c:v>1.6749979278377252</c:v>
                </c:pt>
                <c:pt idx="71">
                  <c:v>1.764146062605352</c:v>
                </c:pt>
                <c:pt idx="72">
                  <c:v>1.9023141874577416</c:v>
                </c:pt>
                <c:pt idx="73">
                  <c:v>1.9489425960909623</c:v>
                </c:pt>
                <c:pt idx="74">
                  <c:v>1.9709942258419075</c:v>
                </c:pt>
                <c:pt idx="75">
                  <c:v>2.0681048643250377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C7-7D4F-BC13-C21874E127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1537632"/>
        <c:axId val="416630224"/>
      </c:lineChart>
      <c:dateAx>
        <c:axId val="471537632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630224"/>
        <c:crosses val="autoZero"/>
        <c:auto val="1"/>
        <c:lblOffset val="100"/>
        <c:baseTimeUnit val="months"/>
      </c:dateAx>
      <c:valAx>
        <c:axId val="416630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537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 Liabilities: foreign</a:t>
            </a:r>
            <a:r>
              <a:rPr lang="en-GB" baseline="0"/>
              <a:t> holdings of </a:t>
            </a:r>
            <a:r>
              <a:rPr lang="en-GB"/>
              <a:t>equity &amp; debt</a:t>
            </a:r>
          </a:p>
          <a:p>
            <a:pPr>
              <a:defRPr/>
            </a:pPr>
            <a:r>
              <a:rPr lang="en-GB"/>
              <a:t>(% of</a:t>
            </a:r>
            <a:r>
              <a:rPr lang="en-GB" baseline="0"/>
              <a:t> total liabilities</a:t>
            </a:r>
            <a:r>
              <a:rPr lang="en-GB"/>
              <a:t>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Sheet1!$C$76</c:f>
              <c:strCache>
                <c:ptCount val="1"/>
                <c:pt idx="0">
                  <c:v>Equity (total)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Sheet1!$D$73:$CA$73</c:f>
              <c:numCache>
                <c:formatCode>mmm\-yy</c:formatCode>
                <c:ptCount val="76"/>
                <c:pt idx="0">
                  <c:v>38777</c:v>
                </c:pt>
                <c:pt idx="1">
                  <c:v>38869</c:v>
                </c:pt>
                <c:pt idx="2">
                  <c:v>38961</c:v>
                </c:pt>
                <c:pt idx="3">
                  <c:v>39052</c:v>
                </c:pt>
                <c:pt idx="4">
                  <c:v>39142</c:v>
                </c:pt>
                <c:pt idx="5">
                  <c:v>39234</c:v>
                </c:pt>
                <c:pt idx="6">
                  <c:v>39326</c:v>
                </c:pt>
                <c:pt idx="7">
                  <c:v>39417</c:v>
                </c:pt>
                <c:pt idx="8">
                  <c:v>39508</c:v>
                </c:pt>
                <c:pt idx="9">
                  <c:v>39600</c:v>
                </c:pt>
                <c:pt idx="10">
                  <c:v>39692</c:v>
                </c:pt>
                <c:pt idx="11">
                  <c:v>39783</c:v>
                </c:pt>
                <c:pt idx="12">
                  <c:v>39873</c:v>
                </c:pt>
                <c:pt idx="13">
                  <c:v>39965</c:v>
                </c:pt>
                <c:pt idx="14">
                  <c:v>40057</c:v>
                </c:pt>
                <c:pt idx="15">
                  <c:v>40148</c:v>
                </c:pt>
                <c:pt idx="16">
                  <c:v>40238</c:v>
                </c:pt>
                <c:pt idx="17">
                  <c:v>40330</c:v>
                </c:pt>
                <c:pt idx="18">
                  <c:v>40422</c:v>
                </c:pt>
                <c:pt idx="19">
                  <c:v>40513</c:v>
                </c:pt>
                <c:pt idx="20">
                  <c:v>40603</c:v>
                </c:pt>
                <c:pt idx="21">
                  <c:v>40695</c:v>
                </c:pt>
                <c:pt idx="22">
                  <c:v>40787</c:v>
                </c:pt>
                <c:pt idx="23">
                  <c:v>40878</c:v>
                </c:pt>
                <c:pt idx="24">
                  <c:v>40969</c:v>
                </c:pt>
                <c:pt idx="25">
                  <c:v>41061</c:v>
                </c:pt>
                <c:pt idx="26">
                  <c:v>41153</c:v>
                </c:pt>
                <c:pt idx="27">
                  <c:v>41244</c:v>
                </c:pt>
                <c:pt idx="28">
                  <c:v>41334</c:v>
                </c:pt>
                <c:pt idx="29">
                  <c:v>41426</c:v>
                </c:pt>
                <c:pt idx="30">
                  <c:v>41518</c:v>
                </c:pt>
                <c:pt idx="31">
                  <c:v>41609</c:v>
                </c:pt>
                <c:pt idx="32">
                  <c:v>41699</c:v>
                </c:pt>
                <c:pt idx="33">
                  <c:v>41791</c:v>
                </c:pt>
                <c:pt idx="34">
                  <c:v>41883</c:v>
                </c:pt>
                <c:pt idx="35">
                  <c:v>41974</c:v>
                </c:pt>
                <c:pt idx="36">
                  <c:v>42064</c:v>
                </c:pt>
                <c:pt idx="37">
                  <c:v>42156</c:v>
                </c:pt>
                <c:pt idx="38">
                  <c:v>42248</c:v>
                </c:pt>
                <c:pt idx="39">
                  <c:v>42339</c:v>
                </c:pt>
                <c:pt idx="40">
                  <c:v>42430</c:v>
                </c:pt>
                <c:pt idx="41">
                  <c:v>42522</c:v>
                </c:pt>
                <c:pt idx="42">
                  <c:v>42614</c:v>
                </c:pt>
                <c:pt idx="43">
                  <c:v>42705</c:v>
                </c:pt>
                <c:pt idx="44">
                  <c:v>42795</c:v>
                </c:pt>
                <c:pt idx="45">
                  <c:v>42887</c:v>
                </c:pt>
                <c:pt idx="46">
                  <c:v>42979</c:v>
                </c:pt>
                <c:pt idx="47">
                  <c:v>43070</c:v>
                </c:pt>
                <c:pt idx="48">
                  <c:v>43160</c:v>
                </c:pt>
                <c:pt idx="49">
                  <c:v>43252</c:v>
                </c:pt>
                <c:pt idx="50">
                  <c:v>43344</c:v>
                </c:pt>
                <c:pt idx="51">
                  <c:v>43435</c:v>
                </c:pt>
                <c:pt idx="52">
                  <c:v>43525</c:v>
                </c:pt>
                <c:pt idx="53">
                  <c:v>43617</c:v>
                </c:pt>
                <c:pt idx="54">
                  <c:v>43709</c:v>
                </c:pt>
                <c:pt idx="55">
                  <c:v>43800</c:v>
                </c:pt>
                <c:pt idx="56">
                  <c:v>43891</c:v>
                </c:pt>
                <c:pt idx="57">
                  <c:v>43983</c:v>
                </c:pt>
                <c:pt idx="58">
                  <c:v>44075</c:v>
                </c:pt>
                <c:pt idx="59">
                  <c:v>44166</c:v>
                </c:pt>
                <c:pt idx="60">
                  <c:v>44256</c:v>
                </c:pt>
                <c:pt idx="61">
                  <c:v>44348</c:v>
                </c:pt>
                <c:pt idx="62">
                  <c:v>44440</c:v>
                </c:pt>
                <c:pt idx="63">
                  <c:v>44531</c:v>
                </c:pt>
                <c:pt idx="64">
                  <c:v>44621</c:v>
                </c:pt>
                <c:pt idx="65">
                  <c:v>44713</c:v>
                </c:pt>
                <c:pt idx="66">
                  <c:v>44805</c:v>
                </c:pt>
                <c:pt idx="67">
                  <c:v>44896</c:v>
                </c:pt>
                <c:pt idx="68">
                  <c:v>44986</c:v>
                </c:pt>
                <c:pt idx="69">
                  <c:v>45078</c:v>
                </c:pt>
                <c:pt idx="70">
                  <c:v>45170</c:v>
                </c:pt>
                <c:pt idx="71">
                  <c:v>45261</c:v>
                </c:pt>
                <c:pt idx="72">
                  <c:v>45352</c:v>
                </c:pt>
                <c:pt idx="73">
                  <c:v>45444</c:v>
                </c:pt>
                <c:pt idx="74">
                  <c:v>45536</c:v>
                </c:pt>
                <c:pt idx="75">
                  <c:v>45627</c:v>
                </c:pt>
              </c:numCache>
            </c:numRef>
          </c:cat>
          <c:val>
            <c:numRef>
              <c:f>Sheet1!$D$85:$CA$85</c:f>
              <c:numCache>
                <c:formatCode>0%</c:formatCode>
                <c:ptCount val="76"/>
                <c:pt idx="0">
                  <c:v>0.31322717028832359</c:v>
                </c:pt>
                <c:pt idx="1">
                  <c:v>0.30342140353844249</c:v>
                </c:pt>
                <c:pt idx="2">
                  <c:v>0.3077675716330977</c:v>
                </c:pt>
                <c:pt idx="3">
                  <c:v>0.31218139576012754</c:v>
                </c:pt>
                <c:pt idx="4">
                  <c:v>0.30559919699171462</c:v>
                </c:pt>
                <c:pt idx="5">
                  <c:v>0.31037320369101001</c:v>
                </c:pt>
                <c:pt idx="6">
                  <c:v>0.30969841394086783</c:v>
                </c:pt>
                <c:pt idx="7">
                  <c:v>0.2878987059495462</c:v>
                </c:pt>
                <c:pt idx="8">
                  <c:v>0.2466583550087906</c:v>
                </c:pt>
                <c:pt idx="9">
                  <c:v>0.25198752722936812</c:v>
                </c:pt>
                <c:pt idx="10">
                  <c:v>0.24443294251932085</c:v>
                </c:pt>
                <c:pt idx="11">
                  <c:v>0.17648024114727373</c:v>
                </c:pt>
                <c:pt idx="12">
                  <c:v>0.16604962265446585</c:v>
                </c:pt>
                <c:pt idx="13">
                  <c:v>0.20237568959856658</c:v>
                </c:pt>
                <c:pt idx="14">
                  <c:v>0.22538986774604061</c:v>
                </c:pt>
                <c:pt idx="15">
                  <c:v>0.24628462255405292</c:v>
                </c:pt>
                <c:pt idx="16">
                  <c:v>0.25676485129117482</c:v>
                </c:pt>
                <c:pt idx="17">
                  <c:v>0.22388084709112441</c:v>
                </c:pt>
                <c:pt idx="18">
                  <c:v>0.23491547460555989</c:v>
                </c:pt>
                <c:pt idx="19">
                  <c:v>0.26662370608039609</c:v>
                </c:pt>
                <c:pt idx="20">
                  <c:v>0.27787427489996896</c:v>
                </c:pt>
                <c:pt idx="21">
                  <c:v>0.2750064794200146</c:v>
                </c:pt>
                <c:pt idx="22">
                  <c:v>0.2289948712606181</c:v>
                </c:pt>
                <c:pt idx="23">
                  <c:v>0.2554079322214779</c:v>
                </c:pt>
                <c:pt idx="24">
                  <c:v>0.28606473875789201</c:v>
                </c:pt>
                <c:pt idx="25">
                  <c:v>0.28039793600546997</c:v>
                </c:pt>
                <c:pt idx="26">
                  <c:v>0.29070176604405801</c:v>
                </c:pt>
                <c:pt idx="27">
                  <c:v>0.29398644188918432</c:v>
                </c:pt>
                <c:pt idx="28">
                  <c:v>0.31525616415520114</c:v>
                </c:pt>
                <c:pt idx="29">
                  <c:v>0.32492327176922386</c:v>
                </c:pt>
                <c:pt idx="30">
                  <c:v>0.33778149652418932</c:v>
                </c:pt>
                <c:pt idx="31">
                  <c:v>0.34925859662287201</c:v>
                </c:pt>
                <c:pt idx="32">
                  <c:v>0.35223541462344621</c:v>
                </c:pt>
                <c:pt idx="33">
                  <c:v>0.35920373646259018</c:v>
                </c:pt>
                <c:pt idx="34">
                  <c:v>0.3592428085554748</c:v>
                </c:pt>
                <c:pt idx="35">
                  <c:v>0.36251567158589409</c:v>
                </c:pt>
                <c:pt idx="36">
                  <c:v>0.36305622774881424</c:v>
                </c:pt>
                <c:pt idx="37">
                  <c:v>0.37252391922841033</c:v>
                </c:pt>
                <c:pt idx="38">
                  <c:v>0.35191225418133065</c:v>
                </c:pt>
                <c:pt idx="39">
                  <c:v>0.36641814991782556</c:v>
                </c:pt>
                <c:pt idx="40">
                  <c:v>0.35553576947748461</c:v>
                </c:pt>
                <c:pt idx="41">
                  <c:v>0.35310605497897313</c:v>
                </c:pt>
                <c:pt idx="42">
                  <c:v>0.36931491987268017</c:v>
                </c:pt>
                <c:pt idx="43">
                  <c:v>0.38536319278803044</c:v>
                </c:pt>
                <c:pt idx="44">
                  <c:v>0.4003545504679068</c:v>
                </c:pt>
                <c:pt idx="45">
                  <c:v>0.40140403770483979</c:v>
                </c:pt>
                <c:pt idx="46">
                  <c:v>0.41086180566046293</c:v>
                </c:pt>
                <c:pt idx="47">
                  <c:v>0.42519690131173227</c:v>
                </c:pt>
                <c:pt idx="48">
                  <c:v>0.42385297272310973</c:v>
                </c:pt>
                <c:pt idx="49">
                  <c:v>0.42911233913685271</c:v>
                </c:pt>
                <c:pt idx="50">
                  <c:v>0.44476767217389868</c:v>
                </c:pt>
                <c:pt idx="51">
                  <c:v>0.40927515440263468</c:v>
                </c:pt>
                <c:pt idx="52">
                  <c:v>0.43010405300197929</c:v>
                </c:pt>
                <c:pt idx="53">
                  <c:v>0.43305473711915726</c:v>
                </c:pt>
                <c:pt idx="54">
                  <c:v>0.42533757481313506</c:v>
                </c:pt>
                <c:pt idx="55">
                  <c:v>0.44645847025907481</c:v>
                </c:pt>
                <c:pt idx="56">
                  <c:v>0.37618649128671744</c:v>
                </c:pt>
                <c:pt idx="57">
                  <c:v>0.42112279091514182</c:v>
                </c:pt>
                <c:pt idx="58">
                  <c:v>0.44342093169110158</c:v>
                </c:pt>
                <c:pt idx="59">
                  <c:v>0.47273285047800623</c:v>
                </c:pt>
                <c:pt idx="60">
                  <c:v>0.49212143510558543</c:v>
                </c:pt>
                <c:pt idx="61">
                  <c:v>0.50803531504053412</c:v>
                </c:pt>
                <c:pt idx="62">
                  <c:v>0.50620631946446937</c:v>
                </c:pt>
                <c:pt idx="63">
                  <c:v>0.52839088790280508</c:v>
                </c:pt>
                <c:pt idx="64">
                  <c:v>0.51272999988924617</c:v>
                </c:pt>
                <c:pt idx="65">
                  <c:v>0.47431852797195562</c:v>
                </c:pt>
                <c:pt idx="66">
                  <c:v>0.45880793648644191</c:v>
                </c:pt>
                <c:pt idx="67">
                  <c:v>0.47362479282219921</c:v>
                </c:pt>
                <c:pt idx="68">
                  <c:v>0.48697025707016528</c:v>
                </c:pt>
                <c:pt idx="69">
                  <c:v>0.50164448852080012</c:v>
                </c:pt>
                <c:pt idx="70">
                  <c:v>0.49214276297541681</c:v>
                </c:pt>
                <c:pt idx="71">
                  <c:v>0.51085777119599773</c:v>
                </c:pt>
                <c:pt idx="72">
                  <c:v>0.53124947586265003</c:v>
                </c:pt>
                <c:pt idx="73">
                  <c:v>0.53655379151663707</c:v>
                </c:pt>
                <c:pt idx="74">
                  <c:v>0.5395499376190992</c:v>
                </c:pt>
                <c:pt idx="75">
                  <c:v>0.55260053044245427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B5-B540-A3D7-154B36C7C2E8}"/>
            </c:ext>
          </c:extLst>
        </c:ser>
        <c:ser>
          <c:idx val="4"/>
          <c:order val="1"/>
          <c:tx>
            <c:strRef>
              <c:f>Sheet1!$C$78</c:f>
              <c:strCache>
                <c:ptCount val="1"/>
                <c:pt idx="0">
                  <c:v>Debt (total)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Sheet1!$D$73:$CA$73</c:f>
              <c:numCache>
                <c:formatCode>mmm\-yy</c:formatCode>
                <c:ptCount val="76"/>
                <c:pt idx="0">
                  <c:v>38777</c:v>
                </c:pt>
                <c:pt idx="1">
                  <c:v>38869</c:v>
                </c:pt>
                <c:pt idx="2">
                  <c:v>38961</c:v>
                </c:pt>
                <c:pt idx="3">
                  <c:v>39052</c:v>
                </c:pt>
                <c:pt idx="4">
                  <c:v>39142</c:v>
                </c:pt>
                <c:pt idx="5">
                  <c:v>39234</c:v>
                </c:pt>
                <c:pt idx="6">
                  <c:v>39326</c:v>
                </c:pt>
                <c:pt idx="7">
                  <c:v>39417</c:v>
                </c:pt>
                <c:pt idx="8">
                  <c:v>39508</c:v>
                </c:pt>
                <c:pt idx="9">
                  <c:v>39600</c:v>
                </c:pt>
                <c:pt idx="10">
                  <c:v>39692</c:v>
                </c:pt>
                <c:pt idx="11">
                  <c:v>39783</c:v>
                </c:pt>
                <c:pt idx="12">
                  <c:v>39873</c:v>
                </c:pt>
                <c:pt idx="13">
                  <c:v>39965</c:v>
                </c:pt>
                <c:pt idx="14">
                  <c:v>40057</c:v>
                </c:pt>
                <c:pt idx="15">
                  <c:v>40148</c:v>
                </c:pt>
                <c:pt idx="16">
                  <c:v>40238</c:v>
                </c:pt>
                <c:pt idx="17">
                  <c:v>40330</c:v>
                </c:pt>
                <c:pt idx="18">
                  <c:v>40422</c:v>
                </c:pt>
                <c:pt idx="19">
                  <c:v>40513</c:v>
                </c:pt>
                <c:pt idx="20">
                  <c:v>40603</c:v>
                </c:pt>
                <c:pt idx="21">
                  <c:v>40695</c:v>
                </c:pt>
                <c:pt idx="22">
                  <c:v>40787</c:v>
                </c:pt>
                <c:pt idx="23">
                  <c:v>40878</c:v>
                </c:pt>
                <c:pt idx="24">
                  <c:v>40969</c:v>
                </c:pt>
                <c:pt idx="25">
                  <c:v>41061</c:v>
                </c:pt>
                <c:pt idx="26">
                  <c:v>41153</c:v>
                </c:pt>
                <c:pt idx="27">
                  <c:v>41244</c:v>
                </c:pt>
                <c:pt idx="28">
                  <c:v>41334</c:v>
                </c:pt>
                <c:pt idx="29">
                  <c:v>41426</c:v>
                </c:pt>
                <c:pt idx="30">
                  <c:v>41518</c:v>
                </c:pt>
                <c:pt idx="31">
                  <c:v>41609</c:v>
                </c:pt>
                <c:pt idx="32">
                  <c:v>41699</c:v>
                </c:pt>
                <c:pt idx="33">
                  <c:v>41791</c:v>
                </c:pt>
                <c:pt idx="34">
                  <c:v>41883</c:v>
                </c:pt>
                <c:pt idx="35">
                  <c:v>41974</c:v>
                </c:pt>
                <c:pt idx="36">
                  <c:v>42064</c:v>
                </c:pt>
                <c:pt idx="37">
                  <c:v>42156</c:v>
                </c:pt>
                <c:pt idx="38">
                  <c:v>42248</c:v>
                </c:pt>
                <c:pt idx="39">
                  <c:v>42339</c:v>
                </c:pt>
                <c:pt idx="40">
                  <c:v>42430</c:v>
                </c:pt>
                <c:pt idx="41">
                  <c:v>42522</c:v>
                </c:pt>
                <c:pt idx="42">
                  <c:v>42614</c:v>
                </c:pt>
                <c:pt idx="43">
                  <c:v>42705</c:v>
                </c:pt>
                <c:pt idx="44">
                  <c:v>42795</c:v>
                </c:pt>
                <c:pt idx="45">
                  <c:v>42887</c:v>
                </c:pt>
                <c:pt idx="46">
                  <c:v>42979</c:v>
                </c:pt>
                <c:pt idx="47">
                  <c:v>43070</c:v>
                </c:pt>
                <c:pt idx="48">
                  <c:v>43160</c:v>
                </c:pt>
                <c:pt idx="49">
                  <c:v>43252</c:v>
                </c:pt>
                <c:pt idx="50">
                  <c:v>43344</c:v>
                </c:pt>
                <c:pt idx="51">
                  <c:v>43435</c:v>
                </c:pt>
                <c:pt idx="52">
                  <c:v>43525</c:v>
                </c:pt>
                <c:pt idx="53">
                  <c:v>43617</c:v>
                </c:pt>
                <c:pt idx="54">
                  <c:v>43709</c:v>
                </c:pt>
                <c:pt idx="55">
                  <c:v>43800</c:v>
                </c:pt>
                <c:pt idx="56">
                  <c:v>43891</c:v>
                </c:pt>
                <c:pt idx="57">
                  <c:v>43983</c:v>
                </c:pt>
                <c:pt idx="58">
                  <c:v>44075</c:v>
                </c:pt>
                <c:pt idx="59">
                  <c:v>44166</c:v>
                </c:pt>
                <c:pt idx="60">
                  <c:v>44256</c:v>
                </c:pt>
                <c:pt idx="61">
                  <c:v>44348</c:v>
                </c:pt>
                <c:pt idx="62">
                  <c:v>44440</c:v>
                </c:pt>
                <c:pt idx="63">
                  <c:v>44531</c:v>
                </c:pt>
                <c:pt idx="64">
                  <c:v>44621</c:v>
                </c:pt>
                <c:pt idx="65">
                  <c:v>44713</c:v>
                </c:pt>
                <c:pt idx="66">
                  <c:v>44805</c:v>
                </c:pt>
                <c:pt idx="67">
                  <c:v>44896</c:v>
                </c:pt>
                <c:pt idx="68">
                  <c:v>44986</c:v>
                </c:pt>
                <c:pt idx="69">
                  <c:v>45078</c:v>
                </c:pt>
                <c:pt idx="70">
                  <c:v>45170</c:v>
                </c:pt>
                <c:pt idx="71">
                  <c:v>45261</c:v>
                </c:pt>
                <c:pt idx="72">
                  <c:v>45352</c:v>
                </c:pt>
                <c:pt idx="73">
                  <c:v>45444</c:v>
                </c:pt>
                <c:pt idx="74">
                  <c:v>45536</c:v>
                </c:pt>
                <c:pt idx="75">
                  <c:v>45627</c:v>
                </c:pt>
              </c:numCache>
            </c:numRef>
          </c:cat>
          <c:val>
            <c:numRef>
              <c:f>Sheet1!$D$88:$CA$88</c:f>
              <c:numCache>
                <c:formatCode>0%</c:formatCode>
                <c:ptCount val="76"/>
                <c:pt idx="0">
                  <c:v>0.36840532454736913</c:v>
                </c:pt>
                <c:pt idx="1">
                  <c:v>0.37563652911907269</c:v>
                </c:pt>
                <c:pt idx="2">
                  <c:v>0.38159408198685479</c:v>
                </c:pt>
                <c:pt idx="3">
                  <c:v>0.37921700950542614</c:v>
                </c:pt>
                <c:pt idx="4">
                  <c:v>0.38695694847991113</c:v>
                </c:pt>
                <c:pt idx="5">
                  <c:v>0.37471413061282788</c:v>
                </c:pt>
                <c:pt idx="6">
                  <c:v>0.37274763666186866</c:v>
                </c:pt>
                <c:pt idx="7">
                  <c:v>0.36990768193371215</c:v>
                </c:pt>
                <c:pt idx="8">
                  <c:v>0.35522377923385096</c:v>
                </c:pt>
                <c:pt idx="9">
                  <c:v>0.37122152306594236</c:v>
                </c:pt>
                <c:pt idx="10">
                  <c:v>0.38067740052935228</c:v>
                </c:pt>
                <c:pt idx="11">
                  <c:v>0.36014661434498679</c:v>
                </c:pt>
                <c:pt idx="12">
                  <c:v>0.37967050963177185</c:v>
                </c:pt>
                <c:pt idx="13">
                  <c:v>0.4021249634799407</c:v>
                </c:pt>
                <c:pt idx="14">
                  <c:v>0.3883110425293631</c:v>
                </c:pt>
                <c:pt idx="15">
                  <c:v>0.3922303736473311</c:v>
                </c:pt>
                <c:pt idx="16">
                  <c:v>0.39057635395038032</c:v>
                </c:pt>
                <c:pt idx="17">
                  <c:v>0.3915299939668565</c:v>
                </c:pt>
                <c:pt idx="18">
                  <c:v>0.38488663627750797</c:v>
                </c:pt>
                <c:pt idx="19">
                  <c:v>0.3910620261380543</c:v>
                </c:pt>
                <c:pt idx="20">
                  <c:v>0.38772083802102797</c:v>
                </c:pt>
                <c:pt idx="21">
                  <c:v>0.38874831871930199</c:v>
                </c:pt>
                <c:pt idx="22">
                  <c:v>0.38080508789225376</c:v>
                </c:pt>
                <c:pt idx="23">
                  <c:v>0.37639168507895476</c:v>
                </c:pt>
                <c:pt idx="24">
                  <c:v>0.37968525557512156</c:v>
                </c:pt>
                <c:pt idx="25">
                  <c:v>0.38414639135133405</c:v>
                </c:pt>
                <c:pt idx="26">
                  <c:v>0.386638416698382</c:v>
                </c:pt>
                <c:pt idx="27">
                  <c:v>0.39438797549823718</c:v>
                </c:pt>
                <c:pt idx="28">
                  <c:v>0.39129740988494022</c:v>
                </c:pt>
                <c:pt idx="29">
                  <c:v>0.38907430472821797</c:v>
                </c:pt>
                <c:pt idx="30">
                  <c:v>0.38744126041675414</c:v>
                </c:pt>
                <c:pt idx="31">
                  <c:v>0.37435070641251655</c:v>
                </c:pt>
                <c:pt idx="32">
                  <c:v>0.38026640620500957</c:v>
                </c:pt>
                <c:pt idx="33">
                  <c:v>0.37549206708767774</c:v>
                </c:pt>
                <c:pt idx="34">
                  <c:v>0.37532920314597068</c:v>
                </c:pt>
                <c:pt idx="35">
                  <c:v>0.3695584910839107</c:v>
                </c:pt>
                <c:pt idx="36">
                  <c:v>0.36812995169126694</c:v>
                </c:pt>
                <c:pt idx="37">
                  <c:v>0.38358736434375251</c:v>
                </c:pt>
                <c:pt idx="38">
                  <c:v>0.38953430498389341</c:v>
                </c:pt>
                <c:pt idx="39">
                  <c:v>0.39024706449524166</c:v>
                </c:pt>
                <c:pt idx="40">
                  <c:v>0.38720478490536148</c:v>
                </c:pt>
                <c:pt idx="41">
                  <c:v>0.38461006217539923</c:v>
                </c:pt>
                <c:pt idx="42">
                  <c:v>0.38781049655842764</c:v>
                </c:pt>
                <c:pt idx="43">
                  <c:v>0.38795442532649338</c:v>
                </c:pt>
                <c:pt idx="44">
                  <c:v>0.38154660458800888</c:v>
                </c:pt>
                <c:pt idx="45">
                  <c:v>0.3825459473392977</c:v>
                </c:pt>
                <c:pt idx="46">
                  <c:v>0.38114893957346585</c:v>
                </c:pt>
                <c:pt idx="47">
                  <c:v>0.37207259376986129</c:v>
                </c:pt>
                <c:pt idx="48">
                  <c:v>0.3706431900257568</c:v>
                </c:pt>
                <c:pt idx="49">
                  <c:v>0.36264928397726576</c:v>
                </c:pt>
                <c:pt idx="50">
                  <c:v>0.35503870701067114</c:v>
                </c:pt>
                <c:pt idx="51">
                  <c:v>0.37111628258520046</c:v>
                </c:pt>
                <c:pt idx="52">
                  <c:v>0.36014641951812265</c:v>
                </c:pt>
                <c:pt idx="53">
                  <c:v>0.35524591910378517</c:v>
                </c:pt>
                <c:pt idx="54">
                  <c:v>0.3593118544785322</c:v>
                </c:pt>
                <c:pt idx="55">
                  <c:v>0.34882684764651956</c:v>
                </c:pt>
                <c:pt idx="56">
                  <c:v>0.35911942136683012</c:v>
                </c:pt>
                <c:pt idx="57">
                  <c:v>0.34719518419862744</c:v>
                </c:pt>
                <c:pt idx="58">
                  <c:v>0.33822045110101473</c:v>
                </c:pt>
                <c:pt idx="59">
                  <c:v>0.31982577074868818</c:v>
                </c:pt>
                <c:pt idx="60">
                  <c:v>0.31005625301452716</c:v>
                </c:pt>
                <c:pt idx="61">
                  <c:v>0.30196021182080396</c:v>
                </c:pt>
                <c:pt idx="62">
                  <c:v>0.30057335432964455</c:v>
                </c:pt>
                <c:pt idx="63">
                  <c:v>0.28680486552062467</c:v>
                </c:pt>
                <c:pt idx="64">
                  <c:v>0.28799088674243334</c:v>
                </c:pt>
                <c:pt idx="65">
                  <c:v>0.30462596445952655</c:v>
                </c:pt>
                <c:pt idx="66">
                  <c:v>0.3048822072507642</c:v>
                </c:pt>
                <c:pt idx="67">
                  <c:v>0.30094896897325213</c:v>
                </c:pt>
                <c:pt idx="68">
                  <c:v>0.29880905872456798</c:v>
                </c:pt>
                <c:pt idx="69">
                  <c:v>0.29039259904947368</c:v>
                </c:pt>
                <c:pt idx="70">
                  <c:v>0.29381693839509987</c:v>
                </c:pt>
                <c:pt idx="71">
                  <c:v>0.28957793349692673</c:v>
                </c:pt>
                <c:pt idx="72">
                  <c:v>0.27926484455893869</c:v>
                </c:pt>
                <c:pt idx="73">
                  <c:v>0.27530507701602652</c:v>
                </c:pt>
                <c:pt idx="74">
                  <c:v>0.27374506254001385</c:v>
                </c:pt>
                <c:pt idx="75">
                  <c:v>0.26720140742128434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BB5-B540-A3D7-154B36C7C2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8241856"/>
        <c:axId val="296373568"/>
      </c:lineChart>
      <c:dateAx>
        <c:axId val="46824185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6373568"/>
        <c:crosses val="autoZero"/>
        <c:auto val="1"/>
        <c:lblOffset val="100"/>
        <c:baseTimeUnit val="months"/>
      </c:dateAx>
      <c:valAx>
        <c:axId val="296373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241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Liabs as % of GDP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Sheet1!$C$97</c:f>
              <c:strCache>
                <c:ptCount val="1"/>
                <c:pt idx="0">
                  <c:v>IIP as % of GDP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Sheet1!$D$96:$CA$96</c:f>
              <c:numCache>
                <c:formatCode>mmm\-yy</c:formatCode>
                <c:ptCount val="76"/>
                <c:pt idx="0">
                  <c:v>38777</c:v>
                </c:pt>
                <c:pt idx="1">
                  <c:v>38869</c:v>
                </c:pt>
                <c:pt idx="2">
                  <c:v>38961</c:v>
                </c:pt>
                <c:pt idx="3">
                  <c:v>39052</c:v>
                </c:pt>
                <c:pt idx="4">
                  <c:v>39142</c:v>
                </c:pt>
                <c:pt idx="5">
                  <c:v>39234</c:v>
                </c:pt>
                <c:pt idx="6">
                  <c:v>39326</c:v>
                </c:pt>
                <c:pt idx="7">
                  <c:v>39417</c:v>
                </c:pt>
                <c:pt idx="8">
                  <c:v>39508</c:v>
                </c:pt>
                <c:pt idx="9">
                  <c:v>39600</c:v>
                </c:pt>
                <c:pt idx="10">
                  <c:v>39692</c:v>
                </c:pt>
                <c:pt idx="11">
                  <c:v>39783</c:v>
                </c:pt>
                <c:pt idx="12">
                  <c:v>39873</c:v>
                </c:pt>
                <c:pt idx="13">
                  <c:v>39965</c:v>
                </c:pt>
                <c:pt idx="14">
                  <c:v>40057</c:v>
                </c:pt>
                <c:pt idx="15">
                  <c:v>40148</c:v>
                </c:pt>
                <c:pt idx="16">
                  <c:v>40238</c:v>
                </c:pt>
                <c:pt idx="17">
                  <c:v>40330</c:v>
                </c:pt>
                <c:pt idx="18">
                  <c:v>40422</c:v>
                </c:pt>
                <c:pt idx="19">
                  <c:v>40513</c:v>
                </c:pt>
                <c:pt idx="20">
                  <c:v>40603</c:v>
                </c:pt>
                <c:pt idx="21">
                  <c:v>40695</c:v>
                </c:pt>
                <c:pt idx="22">
                  <c:v>40787</c:v>
                </c:pt>
                <c:pt idx="23">
                  <c:v>40878</c:v>
                </c:pt>
                <c:pt idx="24">
                  <c:v>40969</c:v>
                </c:pt>
                <c:pt idx="25">
                  <c:v>41061</c:v>
                </c:pt>
                <c:pt idx="26">
                  <c:v>41153</c:v>
                </c:pt>
                <c:pt idx="27">
                  <c:v>41244</c:v>
                </c:pt>
                <c:pt idx="28">
                  <c:v>41334</c:v>
                </c:pt>
                <c:pt idx="29">
                  <c:v>41426</c:v>
                </c:pt>
                <c:pt idx="30">
                  <c:v>41518</c:v>
                </c:pt>
                <c:pt idx="31">
                  <c:v>41609</c:v>
                </c:pt>
                <c:pt idx="32">
                  <c:v>41699</c:v>
                </c:pt>
                <c:pt idx="33">
                  <c:v>41791</c:v>
                </c:pt>
                <c:pt idx="34">
                  <c:v>41883</c:v>
                </c:pt>
                <c:pt idx="35">
                  <c:v>41974</c:v>
                </c:pt>
                <c:pt idx="36">
                  <c:v>42064</c:v>
                </c:pt>
                <c:pt idx="37">
                  <c:v>42156</c:v>
                </c:pt>
                <c:pt idx="38">
                  <c:v>42248</c:v>
                </c:pt>
                <c:pt idx="39">
                  <c:v>42339</c:v>
                </c:pt>
                <c:pt idx="40">
                  <c:v>42430</c:v>
                </c:pt>
                <c:pt idx="41">
                  <c:v>42522</c:v>
                </c:pt>
                <c:pt idx="42">
                  <c:v>42614</c:v>
                </c:pt>
                <c:pt idx="43">
                  <c:v>42705</c:v>
                </c:pt>
                <c:pt idx="44">
                  <c:v>42795</c:v>
                </c:pt>
                <c:pt idx="45">
                  <c:v>42887</c:v>
                </c:pt>
                <c:pt idx="46">
                  <c:v>42979</c:v>
                </c:pt>
                <c:pt idx="47">
                  <c:v>43070</c:v>
                </c:pt>
                <c:pt idx="48">
                  <c:v>43160</c:v>
                </c:pt>
                <c:pt idx="49">
                  <c:v>43252</c:v>
                </c:pt>
                <c:pt idx="50">
                  <c:v>43344</c:v>
                </c:pt>
                <c:pt idx="51">
                  <c:v>43435</c:v>
                </c:pt>
                <c:pt idx="52">
                  <c:v>43525</c:v>
                </c:pt>
                <c:pt idx="53">
                  <c:v>43617</c:v>
                </c:pt>
                <c:pt idx="54">
                  <c:v>43709</c:v>
                </c:pt>
                <c:pt idx="55">
                  <c:v>43800</c:v>
                </c:pt>
                <c:pt idx="56">
                  <c:v>43891</c:v>
                </c:pt>
                <c:pt idx="57">
                  <c:v>43983</c:v>
                </c:pt>
                <c:pt idx="58">
                  <c:v>44075</c:v>
                </c:pt>
                <c:pt idx="59">
                  <c:v>44166</c:v>
                </c:pt>
                <c:pt idx="60">
                  <c:v>44256</c:v>
                </c:pt>
                <c:pt idx="61">
                  <c:v>44348</c:v>
                </c:pt>
                <c:pt idx="62">
                  <c:v>44440</c:v>
                </c:pt>
                <c:pt idx="63">
                  <c:v>44531</c:v>
                </c:pt>
                <c:pt idx="64">
                  <c:v>44621</c:v>
                </c:pt>
                <c:pt idx="65">
                  <c:v>44713</c:v>
                </c:pt>
                <c:pt idx="66">
                  <c:v>44805</c:v>
                </c:pt>
                <c:pt idx="67">
                  <c:v>44896</c:v>
                </c:pt>
                <c:pt idx="68">
                  <c:v>44986</c:v>
                </c:pt>
                <c:pt idx="69">
                  <c:v>45078</c:v>
                </c:pt>
                <c:pt idx="70">
                  <c:v>45170</c:v>
                </c:pt>
                <c:pt idx="71">
                  <c:v>45261</c:v>
                </c:pt>
                <c:pt idx="72">
                  <c:v>45352</c:v>
                </c:pt>
                <c:pt idx="73">
                  <c:v>45444</c:v>
                </c:pt>
                <c:pt idx="74">
                  <c:v>45536</c:v>
                </c:pt>
                <c:pt idx="75">
                  <c:v>45627</c:v>
                </c:pt>
              </c:numCache>
            </c:numRef>
          </c:cat>
          <c:val>
            <c:numRef>
              <c:f>Sheet1!$D$97:$CA$97</c:f>
              <c:numCache>
                <c:formatCode>0%</c:formatCode>
                <c:ptCount val="76"/>
                <c:pt idx="0">
                  <c:v>0.12174399006997491</c:v>
                </c:pt>
                <c:pt idx="1">
                  <c:v>0.12206196798702636</c:v>
                </c:pt>
                <c:pt idx="2">
                  <c:v>0.1446093592963556</c:v>
                </c:pt>
                <c:pt idx="3">
                  <c:v>0.12876607244101668</c:v>
                </c:pt>
                <c:pt idx="4">
                  <c:v>0.11636231080799606</c:v>
                </c:pt>
                <c:pt idx="5">
                  <c:v>9.8692813997309559E-2</c:v>
                </c:pt>
                <c:pt idx="6">
                  <c:v>8.4553220768550541E-2</c:v>
                </c:pt>
                <c:pt idx="7">
                  <c:v>8.6906215388345739E-2</c:v>
                </c:pt>
                <c:pt idx="8">
                  <c:v>0.12572843452347521</c:v>
                </c:pt>
                <c:pt idx="9">
                  <c:v>0.12339936071632276</c:v>
                </c:pt>
                <c:pt idx="10">
                  <c:v>0.22209666568874861</c:v>
                </c:pt>
                <c:pt idx="11">
                  <c:v>0.2734507015884014</c:v>
                </c:pt>
                <c:pt idx="12">
                  <c:v>0.26720644350574896</c:v>
                </c:pt>
                <c:pt idx="13">
                  <c:v>0.22246877806608556</c:v>
                </c:pt>
                <c:pt idx="14">
                  <c:v>0.18475332555141635</c:v>
                </c:pt>
                <c:pt idx="15">
                  <c:v>0.17929802435273606</c:v>
                </c:pt>
                <c:pt idx="16">
                  <c:v>0.18754616613645739</c:v>
                </c:pt>
                <c:pt idx="17">
                  <c:v>0.21232269837911968</c:v>
                </c:pt>
                <c:pt idx="18">
                  <c:v>0.18137361509911068</c:v>
                </c:pt>
                <c:pt idx="19">
                  <c:v>0.16402078869594083</c:v>
                </c:pt>
                <c:pt idx="20">
                  <c:v>0.17186756584786009</c:v>
                </c:pt>
                <c:pt idx="21">
                  <c:v>0.17903242922932733</c:v>
                </c:pt>
                <c:pt idx="22">
                  <c:v>0.26419469212049324</c:v>
                </c:pt>
                <c:pt idx="23">
                  <c:v>0.28118565666676704</c:v>
                </c:pt>
                <c:pt idx="24">
                  <c:v>0.28656592696221034</c:v>
                </c:pt>
                <c:pt idx="25">
                  <c:v>0.32454381918065001</c:v>
                </c:pt>
                <c:pt idx="26">
                  <c:v>0.3063932374078413</c:v>
                </c:pt>
                <c:pt idx="27">
                  <c:v>0.27828327644988837</c:v>
                </c:pt>
                <c:pt idx="28">
                  <c:v>0.30598781645258838</c:v>
                </c:pt>
                <c:pt idx="29">
                  <c:v>0.33040734159231977</c:v>
                </c:pt>
                <c:pt idx="30">
                  <c:v>0.29458373968183488</c:v>
                </c:pt>
                <c:pt idx="31">
                  <c:v>0.31663453838667815</c:v>
                </c:pt>
                <c:pt idx="32">
                  <c:v>0.32001621376020495</c:v>
                </c:pt>
                <c:pt idx="33">
                  <c:v>0.31338582029930862</c:v>
                </c:pt>
                <c:pt idx="34">
                  <c:v>0.34862208010366974</c:v>
                </c:pt>
                <c:pt idx="35">
                  <c:v>0.39198062938422723</c:v>
                </c:pt>
                <c:pt idx="36">
                  <c:v>0.38534347302788952</c:v>
                </c:pt>
                <c:pt idx="37">
                  <c:v>0.37608425788838645</c:v>
                </c:pt>
                <c:pt idx="38">
                  <c:v>0.40360677909658638</c:v>
                </c:pt>
                <c:pt idx="39">
                  <c:v>0.41173927809703831</c:v>
                </c:pt>
                <c:pt idx="40">
                  <c:v>0.42571000337742776</c:v>
                </c:pt>
                <c:pt idx="41">
                  <c:v>0.44576260353013319</c:v>
                </c:pt>
                <c:pt idx="42">
                  <c:v>0.42897781511624711</c:v>
                </c:pt>
                <c:pt idx="43">
                  <c:v>0.43261684940091555</c:v>
                </c:pt>
                <c:pt idx="44">
                  <c:v>0.41969635609471412</c:v>
                </c:pt>
                <c:pt idx="45">
                  <c:v>0.40946474504418851</c:v>
                </c:pt>
                <c:pt idx="46">
                  <c:v>0.39323121203680877</c:v>
                </c:pt>
                <c:pt idx="47">
                  <c:v>0.39081142928553292</c:v>
                </c:pt>
                <c:pt idx="48">
                  <c:v>0.39079958125893172</c:v>
                </c:pt>
                <c:pt idx="49">
                  <c:v>0.43317949175430126</c:v>
                </c:pt>
                <c:pt idx="50">
                  <c:v>0.46484732481262075</c:v>
                </c:pt>
                <c:pt idx="51">
                  <c:v>0.46829922955337655</c:v>
                </c:pt>
                <c:pt idx="52">
                  <c:v>0.49024744690122968</c:v>
                </c:pt>
                <c:pt idx="53">
                  <c:v>0.50185681442763319</c:v>
                </c:pt>
                <c:pt idx="54">
                  <c:v>0.53047360542494237</c:v>
                </c:pt>
                <c:pt idx="55">
                  <c:v>0.53190738048139496</c:v>
                </c:pt>
                <c:pt idx="56">
                  <c:v>0.58030661106257342</c:v>
                </c:pt>
                <c:pt idx="57">
                  <c:v>0.6821742721155345</c:v>
                </c:pt>
                <c:pt idx="58">
                  <c:v>0.66686282782613304</c:v>
                </c:pt>
                <c:pt idx="59">
                  <c:v>0.66705149408664288</c:v>
                </c:pt>
                <c:pt idx="60">
                  <c:v>0.66426373759075263</c:v>
                </c:pt>
                <c:pt idx="61">
                  <c:v>0.68890019928656343</c:v>
                </c:pt>
                <c:pt idx="62">
                  <c:v>0.6876042215716911</c:v>
                </c:pt>
                <c:pt idx="63">
                  <c:v>0.76007955430346441</c:v>
                </c:pt>
                <c:pt idx="64">
                  <c:v>0.72735050053159778</c:v>
                </c:pt>
                <c:pt idx="65">
                  <c:v>0.64484560849152039</c:v>
                </c:pt>
                <c:pt idx="66">
                  <c:v>0.64172190701351339</c:v>
                </c:pt>
                <c:pt idx="67">
                  <c:v>0.60835413652667703</c:v>
                </c:pt>
                <c:pt idx="68">
                  <c:v>0.62336482889215239</c:v>
                </c:pt>
                <c:pt idx="69">
                  <c:v>0.66473821579988068</c:v>
                </c:pt>
                <c:pt idx="70">
                  <c:v>0.65422669589133498</c:v>
                </c:pt>
                <c:pt idx="71">
                  <c:v>0.70160006901092964</c:v>
                </c:pt>
                <c:pt idx="72">
                  <c:v>0.74373632903134768</c:v>
                </c:pt>
                <c:pt idx="73">
                  <c:v>0.77699690599011317</c:v>
                </c:pt>
                <c:pt idx="74">
                  <c:v>0.82225105407968169</c:v>
                </c:pt>
                <c:pt idx="75">
                  <c:v>0.88252741971905135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5D-984A-A6AD-8435B03847BF}"/>
            </c:ext>
          </c:extLst>
        </c:ser>
        <c:ser>
          <c:idx val="3"/>
          <c:order val="1"/>
          <c:tx>
            <c:strRef>
              <c:f>Sheet1!$C$100</c:f>
              <c:strCache>
                <c:ptCount val="1"/>
                <c:pt idx="0">
                  <c:v>Equity Liabs (portfolio) as % of GDP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Sheet1!$D$96:$CA$96</c:f>
              <c:numCache>
                <c:formatCode>mmm\-yy</c:formatCode>
                <c:ptCount val="76"/>
                <c:pt idx="0">
                  <c:v>38777</c:v>
                </c:pt>
                <c:pt idx="1">
                  <c:v>38869</c:v>
                </c:pt>
                <c:pt idx="2">
                  <c:v>38961</c:v>
                </c:pt>
                <c:pt idx="3">
                  <c:v>39052</c:v>
                </c:pt>
                <c:pt idx="4">
                  <c:v>39142</c:v>
                </c:pt>
                <c:pt idx="5">
                  <c:v>39234</c:v>
                </c:pt>
                <c:pt idx="6">
                  <c:v>39326</c:v>
                </c:pt>
                <c:pt idx="7">
                  <c:v>39417</c:v>
                </c:pt>
                <c:pt idx="8">
                  <c:v>39508</c:v>
                </c:pt>
                <c:pt idx="9">
                  <c:v>39600</c:v>
                </c:pt>
                <c:pt idx="10">
                  <c:v>39692</c:v>
                </c:pt>
                <c:pt idx="11">
                  <c:v>39783</c:v>
                </c:pt>
                <c:pt idx="12">
                  <c:v>39873</c:v>
                </c:pt>
                <c:pt idx="13">
                  <c:v>39965</c:v>
                </c:pt>
                <c:pt idx="14">
                  <c:v>40057</c:v>
                </c:pt>
                <c:pt idx="15">
                  <c:v>40148</c:v>
                </c:pt>
                <c:pt idx="16">
                  <c:v>40238</c:v>
                </c:pt>
                <c:pt idx="17">
                  <c:v>40330</c:v>
                </c:pt>
                <c:pt idx="18">
                  <c:v>40422</c:v>
                </c:pt>
                <c:pt idx="19">
                  <c:v>40513</c:v>
                </c:pt>
                <c:pt idx="20">
                  <c:v>40603</c:v>
                </c:pt>
                <c:pt idx="21">
                  <c:v>40695</c:v>
                </c:pt>
                <c:pt idx="22">
                  <c:v>40787</c:v>
                </c:pt>
                <c:pt idx="23">
                  <c:v>40878</c:v>
                </c:pt>
                <c:pt idx="24">
                  <c:v>40969</c:v>
                </c:pt>
                <c:pt idx="25">
                  <c:v>41061</c:v>
                </c:pt>
                <c:pt idx="26">
                  <c:v>41153</c:v>
                </c:pt>
                <c:pt idx="27">
                  <c:v>41244</c:v>
                </c:pt>
                <c:pt idx="28">
                  <c:v>41334</c:v>
                </c:pt>
                <c:pt idx="29">
                  <c:v>41426</c:v>
                </c:pt>
                <c:pt idx="30">
                  <c:v>41518</c:v>
                </c:pt>
                <c:pt idx="31">
                  <c:v>41609</c:v>
                </c:pt>
                <c:pt idx="32">
                  <c:v>41699</c:v>
                </c:pt>
                <c:pt idx="33">
                  <c:v>41791</c:v>
                </c:pt>
                <c:pt idx="34">
                  <c:v>41883</c:v>
                </c:pt>
                <c:pt idx="35">
                  <c:v>41974</c:v>
                </c:pt>
                <c:pt idx="36">
                  <c:v>42064</c:v>
                </c:pt>
                <c:pt idx="37">
                  <c:v>42156</c:v>
                </c:pt>
                <c:pt idx="38">
                  <c:v>42248</c:v>
                </c:pt>
                <c:pt idx="39">
                  <c:v>42339</c:v>
                </c:pt>
                <c:pt idx="40">
                  <c:v>42430</c:v>
                </c:pt>
                <c:pt idx="41">
                  <c:v>42522</c:v>
                </c:pt>
                <c:pt idx="42">
                  <c:v>42614</c:v>
                </c:pt>
                <c:pt idx="43">
                  <c:v>42705</c:v>
                </c:pt>
                <c:pt idx="44">
                  <c:v>42795</c:v>
                </c:pt>
                <c:pt idx="45">
                  <c:v>42887</c:v>
                </c:pt>
                <c:pt idx="46">
                  <c:v>42979</c:v>
                </c:pt>
                <c:pt idx="47">
                  <c:v>43070</c:v>
                </c:pt>
                <c:pt idx="48">
                  <c:v>43160</c:v>
                </c:pt>
                <c:pt idx="49">
                  <c:v>43252</c:v>
                </c:pt>
                <c:pt idx="50">
                  <c:v>43344</c:v>
                </c:pt>
                <c:pt idx="51">
                  <c:v>43435</c:v>
                </c:pt>
                <c:pt idx="52">
                  <c:v>43525</c:v>
                </c:pt>
                <c:pt idx="53">
                  <c:v>43617</c:v>
                </c:pt>
                <c:pt idx="54">
                  <c:v>43709</c:v>
                </c:pt>
                <c:pt idx="55">
                  <c:v>43800</c:v>
                </c:pt>
                <c:pt idx="56">
                  <c:v>43891</c:v>
                </c:pt>
                <c:pt idx="57">
                  <c:v>43983</c:v>
                </c:pt>
                <c:pt idx="58">
                  <c:v>44075</c:v>
                </c:pt>
                <c:pt idx="59">
                  <c:v>44166</c:v>
                </c:pt>
                <c:pt idx="60">
                  <c:v>44256</c:v>
                </c:pt>
                <c:pt idx="61">
                  <c:v>44348</c:v>
                </c:pt>
                <c:pt idx="62">
                  <c:v>44440</c:v>
                </c:pt>
                <c:pt idx="63">
                  <c:v>44531</c:v>
                </c:pt>
                <c:pt idx="64">
                  <c:v>44621</c:v>
                </c:pt>
                <c:pt idx="65">
                  <c:v>44713</c:v>
                </c:pt>
                <c:pt idx="66">
                  <c:v>44805</c:v>
                </c:pt>
                <c:pt idx="67">
                  <c:v>44896</c:v>
                </c:pt>
                <c:pt idx="68">
                  <c:v>44986</c:v>
                </c:pt>
                <c:pt idx="69">
                  <c:v>45078</c:v>
                </c:pt>
                <c:pt idx="70">
                  <c:v>45170</c:v>
                </c:pt>
                <c:pt idx="71">
                  <c:v>45261</c:v>
                </c:pt>
                <c:pt idx="72">
                  <c:v>45352</c:v>
                </c:pt>
                <c:pt idx="73">
                  <c:v>45444</c:v>
                </c:pt>
                <c:pt idx="74">
                  <c:v>45536</c:v>
                </c:pt>
                <c:pt idx="75">
                  <c:v>45627</c:v>
                </c:pt>
              </c:numCache>
            </c:numRef>
          </c:cat>
          <c:val>
            <c:numRef>
              <c:f>Sheet1!$D$100:$CA$100</c:f>
              <c:numCache>
                <c:formatCode>0%</c:formatCode>
                <c:ptCount val="76"/>
                <c:pt idx="0">
                  <c:v>0.18052526773712493</c:v>
                </c:pt>
                <c:pt idx="1">
                  <c:v>0.17676827239529588</c:v>
                </c:pt>
                <c:pt idx="2">
                  <c:v>0.18743682493705205</c:v>
                </c:pt>
                <c:pt idx="3">
                  <c:v>0.19885900982651877</c:v>
                </c:pt>
                <c:pt idx="4">
                  <c:v>0.20039863105812039</c:v>
                </c:pt>
                <c:pt idx="5">
                  <c:v>0.21729656864889396</c:v>
                </c:pt>
                <c:pt idx="6">
                  <c:v>0.22124430887227836</c:v>
                </c:pt>
                <c:pt idx="7">
                  <c:v>0.21961524038845107</c:v>
                </c:pt>
                <c:pt idx="8">
                  <c:v>0.20474050384937639</c:v>
                </c:pt>
                <c:pt idx="9">
                  <c:v>0.19974086657601953</c:v>
                </c:pt>
                <c:pt idx="10">
                  <c:v>0.18333560529804721</c:v>
                </c:pt>
                <c:pt idx="11">
                  <c:v>0.14597497886291194</c:v>
                </c:pt>
                <c:pt idx="12">
                  <c:v>0.13198994768310393</c:v>
                </c:pt>
                <c:pt idx="13">
                  <c:v>0.1566055240314532</c:v>
                </c:pt>
                <c:pt idx="14">
                  <c:v>0.18603716190636757</c:v>
                </c:pt>
                <c:pt idx="15">
                  <c:v>0.19914213457159863</c:v>
                </c:pt>
                <c:pt idx="16">
                  <c:v>0.21251079439280821</c:v>
                </c:pt>
                <c:pt idx="17">
                  <c:v>0.18786513631700205</c:v>
                </c:pt>
                <c:pt idx="18">
                  <c:v>0.20933431966633395</c:v>
                </c:pt>
                <c:pt idx="19">
                  <c:v>0.23160619365498775</c:v>
                </c:pt>
                <c:pt idx="20">
                  <c:v>0.2471265902734387</c:v>
                </c:pt>
                <c:pt idx="21">
                  <c:v>0.24617627505224315</c:v>
                </c:pt>
                <c:pt idx="22">
                  <c:v>0.21514256426511791</c:v>
                </c:pt>
                <c:pt idx="23">
                  <c:v>0.24250966986463232</c:v>
                </c:pt>
                <c:pt idx="24">
                  <c:v>0.27103241342464485</c:v>
                </c:pt>
                <c:pt idx="25">
                  <c:v>0.26296185348225148</c:v>
                </c:pt>
                <c:pt idx="26">
                  <c:v>0.27626879947174987</c:v>
                </c:pt>
                <c:pt idx="27">
                  <c:v>0.27681151132623349</c:v>
                </c:pt>
                <c:pt idx="28">
                  <c:v>0.30035867564934543</c:v>
                </c:pt>
                <c:pt idx="29">
                  <c:v>0.30348000413899784</c:v>
                </c:pt>
                <c:pt idx="30">
                  <c:v>0.31888460890094622</c:v>
                </c:pt>
                <c:pt idx="31">
                  <c:v>0.34112340150391879</c:v>
                </c:pt>
                <c:pt idx="32">
                  <c:v>0.35185278436036183</c:v>
                </c:pt>
                <c:pt idx="33">
                  <c:v>0.36259212257116874</c:v>
                </c:pt>
                <c:pt idx="34">
                  <c:v>0.36152659918756375</c:v>
                </c:pt>
                <c:pt idx="35">
                  <c:v>0.37083953236249123</c:v>
                </c:pt>
                <c:pt idx="36">
                  <c:v>0.37248878665957247</c:v>
                </c:pt>
                <c:pt idx="37">
                  <c:v>0.36432066155705123</c:v>
                </c:pt>
                <c:pt idx="38">
                  <c:v>0.3311895916154366</c:v>
                </c:pt>
                <c:pt idx="39">
                  <c:v>0.33680682709328386</c:v>
                </c:pt>
                <c:pt idx="40">
                  <c:v>0.33132641686656211</c:v>
                </c:pt>
                <c:pt idx="41">
                  <c:v>0.33057655578311368</c:v>
                </c:pt>
                <c:pt idx="42">
                  <c:v>0.34347080892192988</c:v>
                </c:pt>
                <c:pt idx="43">
                  <c:v>0.3441818615471986</c:v>
                </c:pt>
                <c:pt idx="44">
                  <c:v>0.36351947429274684</c:v>
                </c:pt>
                <c:pt idx="45">
                  <c:v>0.36993235587484169</c:v>
                </c:pt>
                <c:pt idx="46">
                  <c:v>0.38343296046051828</c:v>
                </c:pt>
                <c:pt idx="47">
                  <c:v>0.39634257233386411</c:v>
                </c:pt>
                <c:pt idx="48">
                  <c:v>0.3925968562543532</c:v>
                </c:pt>
                <c:pt idx="49">
                  <c:v>0.39572298836902853</c:v>
                </c:pt>
                <c:pt idx="50">
                  <c:v>0.41007763454787866</c:v>
                </c:pt>
                <c:pt idx="51">
                  <c:v>0.36042020919245732</c:v>
                </c:pt>
                <c:pt idx="52">
                  <c:v>0.3914825498777923</c:v>
                </c:pt>
                <c:pt idx="53">
                  <c:v>0.40239115563378114</c:v>
                </c:pt>
                <c:pt idx="54">
                  <c:v>0.39813537407795885</c:v>
                </c:pt>
                <c:pt idx="55">
                  <c:v>0.42384302311877003</c:v>
                </c:pt>
                <c:pt idx="56">
                  <c:v>0.35770699988498528</c:v>
                </c:pt>
                <c:pt idx="57">
                  <c:v>0.46754614544827794</c:v>
                </c:pt>
                <c:pt idx="58">
                  <c:v>0.47201899638134082</c:v>
                </c:pt>
                <c:pt idx="59">
                  <c:v>0.53626140508892051</c:v>
                </c:pt>
                <c:pt idx="60">
                  <c:v>0.5570906261976265</c:v>
                </c:pt>
                <c:pt idx="61">
                  <c:v>0.58675482728918626</c:v>
                </c:pt>
                <c:pt idx="62">
                  <c:v>0.57585666677995151</c:v>
                </c:pt>
                <c:pt idx="63">
                  <c:v>0.61551404974234614</c:v>
                </c:pt>
                <c:pt idx="64">
                  <c:v>0.56898876171001389</c:v>
                </c:pt>
                <c:pt idx="65">
                  <c:v>0.47221780568555327</c:v>
                </c:pt>
                <c:pt idx="66">
                  <c:v>0.43897987101177749</c:v>
                </c:pt>
                <c:pt idx="67">
                  <c:v>0.45361129459382799</c:v>
                </c:pt>
                <c:pt idx="68">
                  <c:v>0.47320623321168742</c:v>
                </c:pt>
                <c:pt idx="69">
                  <c:v>0.49992130419761333</c:v>
                </c:pt>
                <c:pt idx="70">
                  <c:v>0.47903937174376565</c:v>
                </c:pt>
                <c:pt idx="71">
                  <c:v>0.52078086672681212</c:v>
                </c:pt>
                <c:pt idx="72">
                  <c:v>0.56324368139274683</c:v>
                </c:pt>
                <c:pt idx="73">
                  <c:v>0.57513676428006288</c:v>
                </c:pt>
                <c:pt idx="74">
                  <c:v>0.6048636261539353</c:v>
                </c:pt>
                <c:pt idx="75">
                  <c:v>0.62048938186502267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75D-984A-A6AD-8435B03847BF}"/>
            </c:ext>
          </c:extLst>
        </c:ser>
        <c:ser>
          <c:idx val="4"/>
          <c:order val="2"/>
          <c:tx>
            <c:strRef>
              <c:f>Sheet1!$C$101</c:f>
              <c:strCache>
                <c:ptCount val="1"/>
                <c:pt idx="0">
                  <c:v>Debt Liabs (total) as % of GDP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Sheet1!$D$96:$CA$96</c:f>
              <c:numCache>
                <c:formatCode>mmm\-yy</c:formatCode>
                <c:ptCount val="76"/>
                <c:pt idx="0">
                  <c:v>38777</c:v>
                </c:pt>
                <c:pt idx="1">
                  <c:v>38869</c:v>
                </c:pt>
                <c:pt idx="2">
                  <c:v>38961</c:v>
                </c:pt>
                <c:pt idx="3">
                  <c:v>39052</c:v>
                </c:pt>
                <c:pt idx="4">
                  <c:v>39142</c:v>
                </c:pt>
                <c:pt idx="5">
                  <c:v>39234</c:v>
                </c:pt>
                <c:pt idx="6">
                  <c:v>39326</c:v>
                </c:pt>
                <c:pt idx="7">
                  <c:v>39417</c:v>
                </c:pt>
                <c:pt idx="8">
                  <c:v>39508</c:v>
                </c:pt>
                <c:pt idx="9">
                  <c:v>39600</c:v>
                </c:pt>
                <c:pt idx="10">
                  <c:v>39692</c:v>
                </c:pt>
                <c:pt idx="11">
                  <c:v>39783</c:v>
                </c:pt>
                <c:pt idx="12">
                  <c:v>39873</c:v>
                </c:pt>
                <c:pt idx="13">
                  <c:v>39965</c:v>
                </c:pt>
                <c:pt idx="14">
                  <c:v>40057</c:v>
                </c:pt>
                <c:pt idx="15">
                  <c:v>40148</c:v>
                </c:pt>
                <c:pt idx="16">
                  <c:v>40238</c:v>
                </c:pt>
                <c:pt idx="17">
                  <c:v>40330</c:v>
                </c:pt>
                <c:pt idx="18">
                  <c:v>40422</c:v>
                </c:pt>
                <c:pt idx="19">
                  <c:v>40513</c:v>
                </c:pt>
                <c:pt idx="20">
                  <c:v>40603</c:v>
                </c:pt>
                <c:pt idx="21">
                  <c:v>40695</c:v>
                </c:pt>
                <c:pt idx="22">
                  <c:v>40787</c:v>
                </c:pt>
                <c:pt idx="23">
                  <c:v>40878</c:v>
                </c:pt>
                <c:pt idx="24">
                  <c:v>40969</c:v>
                </c:pt>
                <c:pt idx="25">
                  <c:v>41061</c:v>
                </c:pt>
                <c:pt idx="26">
                  <c:v>41153</c:v>
                </c:pt>
                <c:pt idx="27">
                  <c:v>41244</c:v>
                </c:pt>
                <c:pt idx="28">
                  <c:v>41334</c:v>
                </c:pt>
                <c:pt idx="29">
                  <c:v>41426</c:v>
                </c:pt>
                <c:pt idx="30">
                  <c:v>41518</c:v>
                </c:pt>
                <c:pt idx="31">
                  <c:v>41609</c:v>
                </c:pt>
                <c:pt idx="32">
                  <c:v>41699</c:v>
                </c:pt>
                <c:pt idx="33">
                  <c:v>41791</c:v>
                </c:pt>
                <c:pt idx="34">
                  <c:v>41883</c:v>
                </c:pt>
                <c:pt idx="35">
                  <c:v>41974</c:v>
                </c:pt>
                <c:pt idx="36">
                  <c:v>42064</c:v>
                </c:pt>
                <c:pt idx="37">
                  <c:v>42156</c:v>
                </c:pt>
                <c:pt idx="38">
                  <c:v>42248</c:v>
                </c:pt>
                <c:pt idx="39">
                  <c:v>42339</c:v>
                </c:pt>
                <c:pt idx="40">
                  <c:v>42430</c:v>
                </c:pt>
                <c:pt idx="41">
                  <c:v>42522</c:v>
                </c:pt>
                <c:pt idx="42">
                  <c:v>42614</c:v>
                </c:pt>
                <c:pt idx="43">
                  <c:v>42705</c:v>
                </c:pt>
                <c:pt idx="44">
                  <c:v>42795</c:v>
                </c:pt>
                <c:pt idx="45">
                  <c:v>42887</c:v>
                </c:pt>
                <c:pt idx="46">
                  <c:v>42979</c:v>
                </c:pt>
                <c:pt idx="47">
                  <c:v>43070</c:v>
                </c:pt>
                <c:pt idx="48">
                  <c:v>43160</c:v>
                </c:pt>
                <c:pt idx="49">
                  <c:v>43252</c:v>
                </c:pt>
                <c:pt idx="50">
                  <c:v>43344</c:v>
                </c:pt>
                <c:pt idx="51">
                  <c:v>43435</c:v>
                </c:pt>
                <c:pt idx="52">
                  <c:v>43525</c:v>
                </c:pt>
                <c:pt idx="53">
                  <c:v>43617</c:v>
                </c:pt>
                <c:pt idx="54">
                  <c:v>43709</c:v>
                </c:pt>
                <c:pt idx="55">
                  <c:v>43800</c:v>
                </c:pt>
                <c:pt idx="56">
                  <c:v>43891</c:v>
                </c:pt>
                <c:pt idx="57">
                  <c:v>43983</c:v>
                </c:pt>
                <c:pt idx="58">
                  <c:v>44075</c:v>
                </c:pt>
                <c:pt idx="59">
                  <c:v>44166</c:v>
                </c:pt>
                <c:pt idx="60">
                  <c:v>44256</c:v>
                </c:pt>
                <c:pt idx="61">
                  <c:v>44348</c:v>
                </c:pt>
                <c:pt idx="62">
                  <c:v>44440</c:v>
                </c:pt>
                <c:pt idx="63">
                  <c:v>44531</c:v>
                </c:pt>
                <c:pt idx="64">
                  <c:v>44621</c:v>
                </c:pt>
                <c:pt idx="65">
                  <c:v>44713</c:v>
                </c:pt>
                <c:pt idx="66">
                  <c:v>44805</c:v>
                </c:pt>
                <c:pt idx="67">
                  <c:v>44896</c:v>
                </c:pt>
                <c:pt idx="68">
                  <c:v>44986</c:v>
                </c:pt>
                <c:pt idx="69">
                  <c:v>45078</c:v>
                </c:pt>
                <c:pt idx="70">
                  <c:v>45170</c:v>
                </c:pt>
                <c:pt idx="71">
                  <c:v>45261</c:v>
                </c:pt>
                <c:pt idx="72">
                  <c:v>45352</c:v>
                </c:pt>
                <c:pt idx="73">
                  <c:v>45444</c:v>
                </c:pt>
                <c:pt idx="74">
                  <c:v>45536</c:v>
                </c:pt>
                <c:pt idx="75">
                  <c:v>45627</c:v>
                </c:pt>
              </c:numCache>
            </c:numRef>
          </c:cat>
          <c:val>
            <c:numRef>
              <c:f>Sheet1!$D$101:$CA$101</c:f>
              <c:numCache>
                <c:formatCode>0%</c:formatCode>
                <c:ptCount val="76"/>
                <c:pt idx="0">
                  <c:v>0.43676837392897799</c:v>
                </c:pt>
                <c:pt idx="1">
                  <c:v>0.45024482630652557</c:v>
                </c:pt>
                <c:pt idx="2">
                  <c:v>0.4754522433293622</c:v>
                </c:pt>
                <c:pt idx="3">
                  <c:v>0.4920881423634359</c:v>
                </c:pt>
                <c:pt idx="4">
                  <c:v>0.51611952206761402</c:v>
                </c:pt>
                <c:pt idx="5">
                  <c:v>0.52718593047866269</c:v>
                </c:pt>
                <c:pt idx="6">
                  <c:v>0.53525181100920849</c:v>
                </c:pt>
                <c:pt idx="7">
                  <c:v>0.55263451900767224</c:v>
                </c:pt>
                <c:pt idx="8">
                  <c:v>0.57332602683241973</c:v>
                </c:pt>
                <c:pt idx="9">
                  <c:v>0.57056522258856146</c:v>
                </c:pt>
                <c:pt idx="10">
                  <c:v>0.55550154745295299</c:v>
                </c:pt>
                <c:pt idx="11">
                  <c:v>0.57735838801320549</c:v>
                </c:pt>
                <c:pt idx="12">
                  <c:v>0.57891800526398141</c:v>
                </c:pt>
                <c:pt idx="13">
                  <c:v>0.59089455176175398</c:v>
                </c:pt>
                <c:pt idx="14">
                  <c:v>0.60207945500558446</c:v>
                </c:pt>
                <c:pt idx="15">
                  <c:v>0.59041259895316778</c:v>
                </c:pt>
                <c:pt idx="16">
                  <c:v>0.59580551060949116</c:v>
                </c:pt>
                <c:pt idx="17">
                  <c:v>0.60056662821366857</c:v>
                </c:pt>
                <c:pt idx="18">
                  <c:v>0.62819943748374929</c:v>
                </c:pt>
                <c:pt idx="19">
                  <c:v>0.62019354812582062</c:v>
                </c:pt>
                <c:pt idx="20">
                  <c:v>0.62606094226420861</c:v>
                </c:pt>
                <c:pt idx="21">
                  <c:v>0.63053507370285233</c:v>
                </c:pt>
                <c:pt idx="22">
                  <c:v>0.64333115196629787</c:v>
                </c:pt>
                <c:pt idx="23">
                  <c:v>0.63350845356082108</c:v>
                </c:pt>
                <c:pt idx="24">
                  <c:v>0.63376984162792438</c:v>
                </c:pt>
                <c:pt idx="25">
                  <c:v>0.63444783355951995</c:v>
                </c:pt>
                <c:pt idx="26">
                  <c:v>0.64709987860565443</c:v>
                </c:pt>
                <c:pt idx="27">
                  <c:v>0.65041549792365216</c:v>
                </c:pt>
                <c:pt idx="28">
                  <c:v>0.65265441184023087</c:v>
                </c:pt>
                <c:pt idx="29">
                  <c:v>0.63891768672580218</c:v>
                </c:pt>
                <c:pt idx="30">
                  <c:v>0.6393816550565129</c:v>
                </c:pt>
                <c:pt idx="31">
                  <c:v>0.6426452879094654</c:v>
                </c:pt>
                <c:pt idx="32">
                  <c:v>0.65542067218374878</c:v>
                </c:pt>
                <c:pt idx="33">
                  <c:v>0.6547810464224465</c:v>
                </c:pt>
                <c:pt idx="34">
                  <c:v>0.6509194894605933</c:v>
                </c:pt>
                <c:pt idx="35">
                  <c:v>0.65667530832127308</c:v>
                </c:pt>
                <c:pt idx="36">
                  <c:v>0.66270682766363098</c:v>
                </c:pt>
                <c:pt idx="37">
                  <c:v>0.66231887641560749</c:v>
                </c:pt>
                <c:pt idx="38">
                  <c:v>0.65370777560635129</c:v>
                </c:pt>
                <c:pt idx="39">
                  <c:v>0.65394669971804387</c:v>
                </c:pt>
                <c:pt idx="40">
                  <c:v>0.66703917152242753</c:v>
                </c:pt>
                <c:pt idx="41">
                  <c:v>0.67493438063517686</c:v>
                </c:pt>
                <c:pt idx="42">
                  <c:v>0.67476957560031714</c:v>
                </c:pt>
                <c:pt idx="43">
                  <c:v>0.65360470867072207</c:v>
                </c:pt>
                <c:pt idx="44">
                  <c:v>0.65300540184368494</c:v>
                </c:pt>
                <c:pt idx="45">
                  <c:v>0.66634615389561913</c:v>
                </c:pt>
                <c:pt idx="46">
                  <c:v>0.67084607183563161</c:v>
                </c:pt>
                <c:pt idx="47">
                  <c:v>0.6575870206289457</c:v>
                </c:pt>
                <c:pt idx="48">
                  <c:v>0.64624230755627321</c:v>
                </c:pt>
                <c:pt idx="49">
                  <c:v>0.6316425141898474</c:v>
                </c:pt>
                <c:pt idx="50">
                  <c:v>0.6269806858399527</c:v>
                </c:pt>
                <c:pt idx="51">
                  <c:v>0.61922733326490698</c:v>
                </c:pt>
                <c:pt idx="52">
                  <c:v>0.63163185168343472</c:v>
                </c:pt>
                <c:pt idx="53">
                  <c:v>0.63581799330384081</c:v>
                </c:pt>
                <c:pt idx="54">
                  <c:v>0.6504516172939836</c:v>
                </c:pt>
                <c:pt idx="55">
                  <c:v>0.64429855410631276</c:v>
                </c:pt>
                <c:pt idx="56">
                  <c:v>0.64982731456042409</c:v>
                </c:pt>
                <c:pt idx="57">
                  <c:v>0.73402970106911092</c:v>
                </c:pt>
                <c:pt idx="58">
                  <c:v>0.68233591740036492</c:v>
                </c:pt>
                <c:pt idx="59">
                  <c:v>0.67742737960847565</c:v>
                </c:pt>
                <c:pt idx="60">
                  <c:v>0.65314287860598808</c:v>
                </c:pt>
                <c:pt idx="61">
                  <c:v>0.6490580777556938</c:v>
                </c:pt>
                <c:pt idx="62">
                  <c:v>0.63669290737547724</c:v>
                </c:pt>
                <c:pt idx="63">
                  <c:v>0.62247404229674264</c:v>
                </c:pt>
                <c:pt idx="64">
                  <c:v>0.59707831983124982</c:v>
                </c:pt>
                <c:pt idx="65">
                  <c:v>0.56119597341542449</c:v>
                </c:pt>
                <c:pt idx="66">
                  <c:v>0.53903760926409483</c:v>
                </c:pt>
                <c:pt idx="67">
                  <c:v>0.53700827592981104</c:v>
                </c:pt>
                <c:pt idx="68">
                  <c:v>0.54421390911524914</c:v>
                </c:pt>
                <c:pt idx="69">
                  <c:v>0.54562118233841084</c:v>
                </c:pt>
                <c:pt idx="70">
                  <c:v>0.53534200545722443</c:v>
                </c:pt>
                <c:pt idx="71">
                  <c:v>0.55519780618184278</c:v>
                </c:pt>
                <c:pt idx="72">
                  <c:v>0.55725672684760508</c:v>
                </c:pt>
                <c:pt idx="73">
                  <c:v>0.55626050558309259</c:v>
                </c:pt>
                <c:pt idx="74">
                  <c:v>0.57602081830775742</c:v>
                </c:pt>
                <c:pt idx="75">
                  <c:v>0.55840330853350695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75D-984A-A6AD-8435B03847BF}"/>
            </c:ext>
          </c:extLst>
        </c:ser>
        <c:ser>
          <c:idx val="5"/>
          <c:order val="3"/>
          <c:tx>
            <c:strRef>
              <c:f>Sheet1!$C$102</c:f>
              <c:strCache>
                <c:ptCount val="1"/>
                <c:pt idx="0">
                  <c:v>Debt Liabs (portfolio) as % of GDP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Sheet1!$D$96:$CA$96</c:f>
              <c:numCache>
                <c:formatCode>mmm\-yy</c:formatCode>
                <c:ptCount val="76"/>
                <c:pt idx="0">
                  <c:v>38777</c:v>
                </c:pt>
                <c:pt idx="1">
                  <c:v>38869</c:v>
                </c:pt>
                <c:pt idx="2">
                  <c:v>38961</c:v>
                </c:pt>
                <c:pt idx="3">
                  <c:v>39052</c:v>
                </c:pt>
                <c:pt idx="4">
                  <c:v>39142</c:v>
                </c:pt>
                <c:pt idx="5">
                  <c:v>39234</c:v>
                </c:pt>
                <c:pt idx="6">
                  <c:v>39326</c:v>
                </c:pt>
                <c:pt idx="7">
                  <c:v>39417</c:v>
                </c:pt>
                <c:pt idx="8">
                  <c:v>39508</c:v>
                </c:pt>
                <c:pt idx="9">
                  <c:v>39600</c:v>
                </c:pt>
                <c:pt idx="10">
                  <c:v>39692</c:v>
                </c:pt>
                <c:pt idx="11">
                  <c:v>39783</c:v>
                </c:pt>
                <c:pt idx="12">
                  <c:v>39873</c:v>
                </c:pt>
                <c:pt idx="13">
                  <c:v>39965</c:v>
                </c:pt>
                <c:pt idx="14">
                  <c:v>40057</c:v>
                </c:pt>
                <c:pt idx="15">
                  <c:v>40148</c:v>
                </c:pt>
                <c:pt idx="16">
                  <c:v>40238</c:v>
                </c:pt>
                <c:pt idx="17">
                  <c:v>40330</c:v>
                </c:pt>
                <c:pt idx="18">
                  <c:v>40422</c:v>
                </c:pt>
                <c:pt idx="19">
                  <c:v>40513</c:v>
                </c:pt>
                <c:pt idx="20">
                  <c:v>40603</c:v>
                </c:pt>
                <c:pt idx="21">
                  <c:v>40695</c:v>
                </c:pt>
                <c:pt idx="22">
                  <c:v>40787</c:v>
                </c:pt>
                <c:pt idx="23">
                  <c:v>40878</c:v>
                </c:pt>
                <c:pt idx="24">
                  <c:v>40969</c:v>
                </c:pt>
                <c:pt idx="25">
                  <c:v>41061</c:v>
                </c:pt>
                <c:pt idx="26">
                  <c:v>41153</c:v>
                </c:pt>
                <c:pt idx="27">
                  <c:v>41244</c:v>
                </c:pt>
                <c:pt idx="28">
                  <c:v>41334</c:v>
                </c:pt>
                <c:pt idx="29">
                  <c:v>41426</c:v>
                </c:pt>
                <c:pt idx="30">
                  <c:v>41518</c:v>
                </c:pt>
                <c:pt idx="31">
                  <c:v>41609</c:v>
                </c:pt>
                <c:pt idx="32">
                  <c:v>41699</c:v>
                </c:pt>
                <c:pt idx="33">
                  <c:v>41791</c:v>
                </c:pt>
                <c:pt idx="34">
                  <c:v>41883</c:v>
                </c:pt>
                <c:pt idx="35">
                  <c:v>41974</c:v>
                </c:pt>
                <c:pt idx="36">
                  <c:v>42064</c:v>
                </c:pt>
                <c:pt idx="37">
                  <c:v>42156</c:v>
                </c:pt>
                <c:pt idx="38">
                  <c:v>42248</c:v>
                </c:pt>
                <c:pt idx="39">
                  <c:v>42339</c:v>
                </c:pt>
                <c:pt idx="40">
                  <c:v>42430</c:v>
                </c:pt>
                <c:pt idx="41">
                  <c:v>42522</c:v>
                </c:pt>
                <c:pt idx="42">
                  <c:v>42614</c:v>
                </c:pt>
                <c:pt idx="43">
                  <c:v>42705</c:v>
                </c:pt>
                <c:pt idx="44">
                  <c:v>42795</c:v>
                </c:pt>
                <c:pt idx="45">
                  <c:v>42887</c:v>
                </c:pt>
                <c:pt idx="46">
                  <c:v>42979</c:v>
                </c:pt>
                <c:pt idx="47">
                  <c:v>43070</c:v>
                </c:pt>
                <c:pt idx="48">
                  <c:v>43160</c:v>
                </c:pt>
                <c:pt idx="49">
                  <c:v>43252</c:v>
                </c:pt>
                <c:pt idx="50">
                  <c:v>43344</c:v>
                </c:pt>
                <c:pt idx="51">
                  <c:v>43435</c:v>
                </c:pt>
                <c:pt idx="52">
                  <c:v>43525</c:v>
                </c:pt>
                <c:pt idx="53">
                  <c:v>43617</c:v>
                </c:pt>
                <c:pt idx="54">
                  <c:v>43709</c:v>
                </c:pt>
                <c:pt idx="55">
                  <c:v>43800</c:v>
                </c:pt>
                <c:pt idx="56">
                  <c:v>43891</c:v>
                </c:pt>
                <c:pt idx="57">
                  <c:v>43983</c:v>
                </c:pt>
                <c:pt idx="58">
                  <c:v>44075</c:v>
                </c:pt>
                <c:pt idx="59">
                  <c:v>44166</c:v>
                </c:pt>
                <c:pt idx="60">
                  <c:v>44256</c:v>
                </c:pt>
                <c:pt idx="61">
                  <c:v>44348</c:v>
                </c:pt>
                <c:pt idx="62">
                  <c:v>44440</c:v>
                </c:pt>
                <c:pt idx="63">
                  <c:v>44531</c:v>
                </c:pt>
                <c:pt idx="64">
                  <c:v>44621</c:v>
                </c:pt>
                <c:pt idx="65">
                  <c:v>44713</c:v>
                </c:pt>
                <c:pt idx="66">
                  <c:v>44805</c:v>
                </c:pt>
                <c:pt idx="67">
                  <c:v>44896</c:v>
                </c:pt>
                <c:pt idx="68">
                  <c:v>44986</c:v>
                </c:pt>
                <c:pt idx="69">
                  <c:v>45078</c:v>
                </c:pt>
                <c:pt idx="70">
                  <c:v>45170</c:v>
                </c:pt>
                <c:pt idx="71">
                  <c:v>45261</c:v>
                </c:pt>
                <c:pt idx="72">
                  <c:v>45352</c:v>
                </c:pt>
                <c:pt idx="73">
                  <c:v>45444</c:v>
                </c:pt>
                <c:pt idx="74">
                  <c:v>45536</c:v>
                </c:pt>
                <c:pt idx="75">
                  <c:v>45627</c:v>
                </c:pt>
              </c:numCache>
            </c:numRef>
          </c:cat>
          <c:val>
            <c:numRef>
              <c:f>Sheet1!$D$102:$CA$102</c:f>
              <c:numCache>
                <c:formatCode>0%</c:formatCode>
                <c:ptCount val="76"/>
                <c:pt idx="0">
                  <c:v>0.37851859967821544</c:v>
                </c:pt>
                <c:pt idx="1">
                  <c:v>0.38974011126247543</c:v>
                </c:pt>
                <c:pt idx="2">
                  <c:v>0.41401371055677111</c:v>
                </c:pt>
                <c:pt idx="3">
                  <c:v>0.43104128619415422</c:v>
                </c:pt>
                <c:pt idx="4">
                  <c:v>0.45182116527762251</c:v>
                </c:pt>
                <c:pt idx="5">
                  <c:v>0.46180552228490296</c:v>
                </c:pt>
                <c:pt idx="6">
                  <c:v>0.46764812449666532</c:v>
                </c:pt>
                <c:pt idx="7">
                  <c:v>0.48218110998950869</c:v>
                </c:pt>
                <c:pt idx="8">
                  <c:v>0.50029667077323026</c:v>
                </c:pt>
                <c:pt idx="9">
                  <c:v>0.49498331763836767</c:v>
                </c:pt>
                <c:pt idx="10">
                  <c:v>0.47970007917981605</c:v>
                </c:pt>
                <c:pt idx="11">
                  <c:v>0.50269269833146557</c:v>
                </c:pt>
                <c:pt idx="12">
                  <c:v>0.50332390865103238</c:v>
                </c:pt>
                <c:pt idx="13">
                  <c:v>0.51323641445005141</c:v>
                </c:pt>
                <c:pt idx="14">
                  <c:v>0.52343662298577842</c:v>
                </c:pt>
                <c:pt idx="15">
                  <c:v>0.51501090453107445</c:v>
                </c:pt>
                <c:pt idx="16">
                  <c:v>0.51970177336211387</c:v>
                </c:pt>
                <c:pt idx="17">
                  <c:v>0.5253655276671001</c:v>
                </c:pt>
                <c:pt idx="18">
                  <c:v>0.55198975907907266</c:v>
                </c:pt>
                <c:pt idx="19">
                  <c:v>0.54368249359840837</c:v>
                </c:pt>
                <c:pt idx="20">
                  <c:v>0.5486216674804878</c:v>
                </c:pt>
                <c:pt idx="21">
                  <c:v>0.55296785693418482</c:v>
                </c:pt>
                <c:pt idx="22">
                  <c:v>0.56533684226671299</c:v>
                </c:pt>
                <c:pt idx="23">
                  <c:v>0.55581353644073106</c:v>
                </c:pt>
                <c:pt idx="24">
                  <c:v>0.55811001502600843</c:v>
                </c:pt>
                <c:pt idx="25">
                  <c:v>0.55751261097363725</c:v>
                </c:pt>
                <c:pt idx="26">
                  <c:v>0.57020267910721267</c:v>
                </c:pt>
                <c:pt idx="27">
                  <c:v>0.57449837303177209</c:v>
                </c:pt>
                <c:pt idx="28">
                  <c:v>0.57478732371430918</c:v>
                </c:pt>
                <c:pt idx="29">
                  <c:v>0.55929254937939832</c:v>
                </c:pt>
                <c:pt idx="30">
                  <c:v>0.55959423465058478</c:v>
                </c:pt>
                <c:pt idx="31">
                  <c:v>0.56285716063948044</c:v>
                </c:pt>
                <c:pt idx="32">
                  <c:v>0.57479698783642363</c:v>
                </c:pt>
                <c:pt idx="33">
                  <c:v>0.57478622037904137</c:v>
                </c:pt>
                <c:pt idx="34">
                  <c:v>0.56906168579732863</c:v>
                </c:pt>
                <c:pt idx="35">
                  <c:v>0.57387414381100044</c:v>
                </c:pt>
                <c:pt idx="36">
                  <c:v>0.57611095816326918</c:v>
                </c:pt>
                <c:pt idx="37">
                  <c:v>0.57462746824579547</c:v>
                </c:pt>
                <c:pt idx="38">
                  <c:v>0.56617415221893974</c:v>
                </c:pt>
                <c:pt idx="39">
                  <c:v>0.56613444207113839</c:v>
                </c:pt>
                <c:pt idx="40">
                  <c:v>0.57972205772308472</c:v>
                </c:pt>
                <c:pt idx="41">
                  <c:v>0.58598950539079775</c:v>
                </c:pt>
                <c:pt idx="42">
                  <c:v>0.58342045280174992</c:v>
                </c:pt>
                <c:pt idx="43">
                  <c:v>0.56522242027883673</c:v>
                </c:pt>
                <c:pt idx="44">
                  <c:v>0.56527979857349164</c:v>
                </c:pt>
                <c:pt idx="45">
                  <c:v>0.57891026652426303</c:v>
                </c:pt>
                <c:pt idx="46">
                  <c:v>0.58339776956769795</c:v>
                </c:pt>
                <c:pt idx="47">
                  <c:v>0.57177644775528258</c:v>
                </c:pt>
                <c:pt idx="48">
                  <c:v>0.56130571615205471</c:v>
                </c:pt>
                <c:pt idx="49">
                  <c:v>0.54987339725275541</c:v>
                </c:pt>
                <c:pt idx="50">
                  <c:v>0.54466599643343605</c:v>
                </c:pt>
                <c:pt idx="51">
                  <c:v>0.54044391811077108</c:v>
                </c:pt>
                <c:pt idx="52">
                  <c:v>0.55400310729646263</c:v>
                </c:pt>
                <c:pt idx="53">
                  <c:v>0.55748352948774782</c:v>
                </c:pt>
                <c:pt idx="54">
                  <c:v>0.57245361285777052</c:v>
                </c:pt>
                <c:pt idx="55">
                  <c:v>0.56842213342438552</c:v>
                </c:pt>
                <c:pt idx="56">
                  <c:v>0.57360980063335865</c:v>
                </c:pt>
                <c:pt idx="57">
                  <c:v>0.6555021799363987</c:v>
                </c:pt>
                <c:pt idx="58">
                  <c:v>0.60637644745330443</c:v>
                </c:pt>
                <c:pt idx="59">
                  <c:v>0.60435084569971675</c:v>
                </c:pt>
                <c:pt idx="60">
                  <c:v>0.58169168072462862</c:v>
                </c:pt>
                <c:pt idx="61">
                  <c:v>0.57890895923425623</c:v>
                </c:pt>
                <c:pt idx="62">
                  <c:v>0.56613665643465882</c:v>
                </c:pt>
                <c:pt idx="63">
                  <c:v>0.5537784621390176</c:v>
                </c:pt>
                <c:pt idx="64">
                  <c:v>0.52841794752281446</c:v>
                </c:pt>
                <c:pt idx="65">
                  <c:v>0.49494394494631072</c:v>
                </c:pt>
                <c:pt idx="66">
                  <c:v>0.47220260375195489</c:v>
                </c:pt>
                <c:pt idx="67">
                  <c:v>0.47086607204675857</c:v>
                </c:pt>
                <c:pt idx="68">
                  <c:v>0.47892692774381312</c:v>
                </c:pt>
                <c:pt idx="69">
                  <c:v>0.47991406658783126</c:v>
                </c:pt>
                <c:pt idx="70">
                  <c:v>0.47082718323214101</c:v>
                </c:pt>
                <c:pt idx="71">
                  <c:v>0.49052133396487335</c:v>
                </c:pt>
                <c:pt idx="72">
                  <c:v>0.49254450860917082</c:v>
                </c:pt>
                <c:pt idx="73">
                  <c:v>0.48990374995597363</c:v>
                </c:pt>
                <c:pt idx="74">
                  <c:v>0.50932772092541279</c:v>
                </c:pt>
                <c:pt idx="75">
                  <c:v>0.49265216662275135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75D-984A-A6AD-8435B03847BF}"/>
            </c:ext>
          </c:extLst>
        </c:ser>
        <c:ser>
          <c:idx val="6"/>
          <c:order val="4"/>
          <c:tx>
            <c:strRef>
              <c:f>Sheet1!$C$103</c:f>
              <c:strCache>
                <c:ptCount val="1"/>
                <c:pt idx="0">
                  <c:v>Treasury Liabs as % of GDP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Sheet1!$D$96:$CA$96</c:f>
              <c:numCache>
                <c:formatCode>mmm\-yy</c:formatCode>
                <c:ptCount val="76"/>
                <c:pt idx="0">
                  <c:v>38777</c:v>
                </c:pt>
                <c:pt idx="1">
                  <c:v>38869</c:v>
                </c:pt>
                <c:pt idx="2">
                  <c:v>38961</c:v>
                </c:pt>
                <c:pt idx="3">
                  <c:v>39052</c:v>
                </c:pt>
                <c:pt idx="4">
                  <c:v>39142</c:v>
                </c:pt>
                <c:pt idx="5">
                  <c:v>39234</c:v>
                </c:pt>
                <c:pt idx="6">
                  <c:v>39326</c:v>
                </c:pt>
                <c:pt idx="7">
                  <c:v>39417</c:v>
                </c:pt>
                <c:pt idx="8">
                  <c:v>39508</c:v>
                </c:pt>
                <c:pt idx="9">
                  <c:v>39600</c:v>
                </c:pt>
                <c:pt idx="10">
                  <c:v>39692</c:v>
                </c:pt>
                <c:pt idx="11">
                  <c:v>39783</c:v>
                </c:pt>
                <c:pt idx="12">
                  <c:v>39873</c:v>
                </c:pt>
                <c:pt idx="13">
                  <c:v>39965</c:v>
                </c:pt>
                <c:pt idx="14">
                  <c:v>40057</c:v>
                </c:pt>
                <c:pt idx="15">
                  <c:v>40148</c:v>
                </c:pt>
                <c:pt idx="16">
                  <c:v>40238</c:v>
                </c:pt>
                <c:pt idx="17">
                  <c:v>40330</c:v>
                </c:pt>
                <c:pt idx="18">
                  <c:v>40422</c:v>
                </c:pt>
                <c:pt idx="19">
                  <c:v>40513</c:v>
                </c:pt>
                <c:pt idx="20">
                  <c:v>40603</c:v>
                </c:pt>
                <c:pt idx="21">
                  <c:v>40695</c:v>
                </c:pt>
                <c:pt idx="22">
                  <c:v>40787</c:v>
                </c:pt>
                <c:pt idx="23">
                  <c:v>40878</c:v>
                </c:pt>
                <c:pt idx="24">
                  <c:v>40969</c:v>
                </c:pt>
                <c:pt idx="25">
                  <c:v>41061</c:v>
                </c:pt>
                <c:pt idx="26">
                  <c:v>41153</c:v>
                </c:pt>
                <c:pt idx="27">
                  <c:v>41244</c:v>
                </c:pt>
                <c:pt idx="28">
                  <c:v>41334</c:v>
                </c:pt>
                <c:pt idx="29">
                  <c:v>41426</c:v>
                </c:pt>
                <c:pt idx="30">
                  <c:v>41518</c:v>
                </c:pt>
                <c:pt idx="31">
                  <c:v>41609</c:v>
                </c:pt>
                <c:pt idx="32">
                  <c:v>41699</c:v>
                </c:pt>
                <c:pt idx="33">
                  <c:v>41791</c:v>
                </c:pt>
                <c:pt idx="34">
                  <c:v>41883</c:v>
                </c:pt>
                <c:pt idx="35">
                  <c:v>41974</c:v>
                </c:pt>
                <c:pt idx="36">
                  <c:v>42064</c:v>
                </c:pt>
                <c:pt idx="37">
                  <c:v>42156</c:v>
                </c:pt>
                <c:pt idx="38">
                  <c:v>42248</c:v>
                </c:pt>
                <c:pt idx="39">
                  <c:v>42339</c:v>
                </c:pt>
                <c:pt idx="40">
                  <c:v>42430</c:v>
                </c:pt>
                <c:pt idx="41">
                  <c:v>42522</c:v>
                </c:pt>
                <c:pt idx="42">
                  <c:v>42614</c:v>
                </c:pt>
                <c:pt idx="43">
                  <c:v>42705</c:v>
                </c:pt>
                <c:pt idx="44">
                  <c:v>42795</c:v>
                </c:pt>
                <c:pt idx="45">
                  <c:v>42887</c:v>
                </c:pt>
                <c:pt idx="46">
                  <c:v>42979</c:v>
                </c:pt>
                <c:pt idx="47">
                  <c:v>43070</c:v>
                </c:pt>
                <c:pt idx="48">
                  <c:v>43160</c:v>
                </c:pt>
                <c:pt idx="49">
                  <c:v>43252</c:v>
                </c:pt>
                <c:pt idx="50">
                  <c:v>43344</c:v>
                </c:pt>
                <c:pt idx="51">
                  <c:v>43435</c:v>
                </c:pt>
                <c:pt idx="52">
                  <c:v>43525</c:v>
                </c:pt>
                <c:pt idx="53">
                  <c:v>43617</c:v>
                </c:pt>
                <c:pt idx="54">
                  <c:v>43709</c:v>
                </c:pt>
                <c:pt idx="55">
                  <c:v>43800</c:v>
                </c:pt>
                <c:pt idx="56">
                  <c:v>43891</c:v>
                </c:pt>
                <c:pt idx="57">
                  <c:v>43983</c:v>
                </c:pt>
                <c:pt idx="58">
                  <c:v>44075</c:v>
                </c:pt>
                <c:pt idx="59">
                  <c:v>44166</c:v>
                </c:pt>
                <c:pt idx="60">
                  <c:v>44256</c:v>
                </c:pt>
                <c:pt idx="61">
                  <c:v>44348</c:v>
                </c:pt>
                <c:pt idx="62">
                  <c:v>44440</c:v>
                </c:pt>
                <c:pt idx="63">
                  <c:v>44531</c:v>
                </c:pt>
                <c:pt idx="64">
                  <c:v>44621</c:v>
                </c:pt>
                <c:pt idx="65">
                  <c:v>44713</c:v>
                </c:pt>
                <c:pt idx="66">
                  <c:v>44805</c:v>
                </c:pt>
                <c:pt idx="67">
                  <c:v>44896</c:v>
                </c:pt>
                <c:pt idx="68">
                  <c:v>44986</c:v>
                </c:pt>
                <c:pt idx="69">
                  <c:v>45078</c:v>
                </c:pt>
                <c:pt idx="70">
                  <c:v>45170</c:v>
                </c:pt>
                <c:pt idx="71">
                  <c:v>45261</c:v>
                </c:pt>
                <c:pt idx="72">
                  <c:v>45352</c:v>
                </c:pt>
                <c:pt idx="73">
                  <c:v>45444</c:v>
                </c:pt>
                <c:pt idx="74">
                  <c:v>45536</c:v>
                </c:pt>
                <c:pt idx="75">
                  <c:v>45627</c:v>
                </c:pt>
              </c:numCache>
            </c:numRef>
          </c:cat>
          <c:val>
            <c:numRef>
              <c:f>Sheet1!$D$103:$CA$103</c:f>
              <c:numCache>
                <c:formatCode>0%</c:formatCode>
                <c:ptCount val="76"/>
                <c:pt idx="0">
                  <c:v>0.14663971892381589</c:v>
                </c:pt>
                <c:pt idx="1">
                  <c:v>0.14397949194324264</c:v>
                </c:pt>
                <c:pt idx="2">
                  <c:v>0.14827066511283049</c:v>
                </c:pt>
                <c:pt idx="3">
                  <c:v>0.15144192553042973</c:v>
                </c:pt>
                <c:pt idx="4">
                  <c:v>0.15630631337249346</c:v>
                </c:pt>
                <c:pt idx="5">
                  <c:v>0.15231443620443211</c:v>
                </c:pt>
                <c:pt idx="6">
                  <c:v>0.15437750191103244</c:v>
                </c:pt>
                <c:pt idx="7">
                  <c:v>0.16149729073443</c:v>
                </c:pt>
                <c:pt idx="8">
                  <c:v>0.17383649367376605</c:v>
                </c:pt>
                <c:pt idx="9">
                  <c:v>0.17405839119191219</c:v>
                </c:pt>
                <c:pt idx="10">
                  <c:v>0.19020599974535202</c:v>
                </c:pt>
                <c:pt idx="11">
                  <c:v>0.22268123354478295</c:v>
                </c:pt>
                <c:pt idx="12">
                  <c:v>0.23684167490015523</c:v>
                </c:pt>
                <c:pt idx="13">
                  <c:v>0.24072916959293345</c:v>
                </c:pt>
                <c:pt idx="14">
                  <c:v>0.24817539516206166</c:v>
                </c:pt>
                <c:pt idx="15">
                  <c:v>0.25053133695291097</c:v>
                </c:pt>
                <c:pt idx="16">
                  <c:v>0.26155123636858679</c:v>
                </c:pt>
                <c:pt idx="17">
                  <c:v>0.27167440366088741</c:v>
                </c:pt>
                <c:pt idx="18">
                  <c:v>0.29119630432886023</c:v>
                </c:pt>
                <c:pt idx="19">
                  <c:v>0.2912460610991599</c:v>
                </c:pt>
                <c:pt idx="20">
                  <c:v>0.29579489830535854</c:v>
                </c:pt>
                <c:pt idx="21">
                  <c:v>0.30149768546297717</c:v>
                </c:pt>
                <c:pt idx="22">
                  <c:v>0.31790009765025867</c:v>
                </c:pt>
                <c:pt idx="23">
                  <c:v>0.31588638968722832</c:v>
                </c:pt>
                <c:pt idx="24">
                  <c:v>0.32018933579690589</c:v>
                </c:pt>
                <c:pt idx="25">
                  <c:v>0.32768762361469023</c:v>
                </c:pt>
                <c:pt idx="26">
                  <c:v>0.33534742184231775</c:v>
                </c:pt>
                <c:pt idx="27">
                  <c:v>0.3393020604407232</c:v>
                </c:pt>
                <c:pt idx="28">
                  <c:v>0.34365966172056317</c:v>
                </c:pt>
                <c:pt idx="29">
                  <c:v>0.33445643402856418</c:v>
                </c:pt>
                <c:pt idx="30">
                  <c:v>0.33342420754521779</c:v>
                </c:pt>
                <c:pt idx="31">
                  <c:v>0.33693634238072911</c:v>
                </c:pt>
                <c:pt idx="32">
                  <c:v>0.34587752179966924</c:v>
                </c:pt>
                <c:pt idx="33">
                  <c:v>0.34356196315348314</c:v>
                </c:pt>
                <c:pt idx="34">
                  <c:v>0.34088257014008133</c:v>
                </c:pt>
                <c:pt idx="35">
                  <c:v>0.34378845694014637</c:v>
                </c:pt>
                <c:pt idx="36">
                  <c:v>0.34171788912343765</c:v>
                </c:pt>
                <c:pt idx="37">
                  <c:v>0.33715611738081808</c:v>
                </c:pt>
                <c:pt idx="38">
                  <c:v>0.33181225398233832</c:v>
                </c:pt>
                <c:pt idx="39">
                  <c:v>0.33339708839701054</c:v>
                </c:pt>
                <c:pt idx="40">
                  <c:v>0.33922361696979042</c:v>
                </c:pt>
                <c:pt idx="41">
                  <c:v>0.33556824494105347</c:v>
                </c:pt>
                <c:pt idx="42">
                  <c:v>0.32583457504269253</c:v>
                </c:pt>
                <c:pt idx="43">
                  <c:v>0.31445742682357558</c:v>
                </c:pt>
                <c:pt idx="44">
                  <c:v>0.31510931176440932</c:v>
                </c:pt>
                <c:pt idx="45">
                  <c:v>0.31647816156714231</c:v>
                </c:pt>
                <c:pt idx="46">
                  <c:v>0.32001567086511451</c:v>
                </c:pt>
                <c:pt idx="47">
                  <c:v>0.30998910620146003</c:v>
                </c:pt>
                <c:pt idx="48">
                  <c:v>0.30614249818961536</c:v>
                </c:pt>
                <c:pt idx="49">
                  <c:v>0.30246545925661605</c:v>
                </c:pt>
                <c:pt idx="50">
                  <c:v>0.299340200098756</c:v>
                </c:pt>
                <c:pt idx="51">
                  <c:v>0.29974996972683687</c:v>
                </c:pt>
                <c:pt idx="52">
                  <c:v>0.30665600901873852</c:v>
                </c:pt>
                <c:pt idx="53">
                  <c:v>0.30964946248559089</c:v>
                </c:pt>
                <c:pt idx="54">
                  <c:v>0.32049708500246188</c:v>
                </c:pt>
                <c:pt idx="55">
                  <c:v>0.31540389173188776</c:v>
                </c:pt>
                <c:pt idx="56">
                  <c:v>0.32492679721518064</c:v>
                </c:pt>
                <c:pt idx="57">
                  <c:v>0.36113286466055133</c:v>
                </c:pt>
                <c:pt idx="58">
                  <c:v>0.33448827231885042</c:v>
                </c:pt>
                <c:pt idx="59">
                  <c:v>0.33040205644474835</c:v>
                </c:pt>
                <c:pt idx="60">
                  <c:v>0.32201909599474204</c:v>
                </c:pt>
                <c:pt idx="61">
                  <c:v>0.32174781646396888</c:v>
                </c:pt>
                <c:pt idx="62">
                  <c:v>0.31648268741510688</c:v>
                </c:pt>
                <c:pt idx="63">
                  <c:v>0.31240094154918757</c:v>
                </c:pt>
                <c:pt idx="64">
                  <c:v>0.30157651897399101</c:v>
                </c:pt>
                <c:pt idx="65">
                  <c:v>0.28741389868653899</c:v>
                </c:pt>
                <c:pt idx="66">
                  <c:v>0.27601648004791107</c:v>
                </c:pt>
                <c:pt idx="67">
                  <c:v>0.27283569329366941</c:v>
                </c:pt>
                <c:pt idx="68">
                  <c:v>0.27842092647943578</c:v>
                </c:pt>
                <c:pt idx="69">
                  <c:v>0.27781749093887315</c:v>
                </c:pt>
                <c:pt idx="70">
                  <c:v>0.27212029649777741</c:v>
                </c:pt>
                <c:pt idx="71">
                  <c:v>0.28082546797329905</c:v>
                </c:pt>
                <c:pt idx="72">
                  <c:v>0.28349694098347794</c:v>
                </c:pt>
                <c:pt idx="73">
                  <c:v>0.28296215760337301</c:v>
                </c:pt>
                <c:pt idx="74">
                  <c:v>0.29543865217784127</c:v>
                </c:pt>
                <c:pt idx="75">
                  <c:v>0.28639806049442296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75D-984A-A6AD-8435B03847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838416"/>
        <c:axId val="91553472"/>
      </c:lineChart>
      <c:dateAx>
        <c:axId val="2383841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53472"/>
        <c:crosses val="autoZero"/>
        <c:auto val="1"/>
        <c:lblOffset val="100"/>
        <c:baseTimeUnit val="months"/>
      </c:dateAx>
      <c:valAx>
        <c:axId val="91553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38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68</xdr:col>
      <xdr:colOff>590550</xdr:colOff>
      <xdr:row>91</xdr:row>
      <xdr:rowOff>177800</xdr:rowOff>
    </xdr:from>
    <xdr:to>
      <xdr:col>74</xdr:col>
      <xdr:colOff>209550</xdr:colOff>
      <xdr:row>105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8208B1-E3AB-A312-0F9F-B41A358882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63</xdr:col>
      <xdr:colOff>19050</xdr:colOff>
      <xdr:row>91</xdr:row>
      <xdr:rowOff>88900</xdr:rowOff>
    </xdr:from>
    <xdr:to>
      <xdr:col>68</xdr:col>
      <xdr:colOff>463550</xdr:colOff>
      <xdr:row>104</xdr:row>
      <xdr:rowOff>190500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3495F9A-2F95-1FC0-F20B-A5692406FF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62</xdr:col>
      <xdr:colOff>596900</xdr:colOff>
      <xdr:row>58</xdr:row>
      <xdr:rowOff>190500</xdr:rowOff>
    </xdr:from>
    <xdr:to>
      <xdr:col>71</xdr:col>
      <xdr:colOff>558800</xdr:colOff>
      <xdr:row>83</xdr:row>
      <xdr:rowOff>139700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7883A72-CBD8-3FE5-8122-ECD40291E1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79</xdr:col>
      <xdr:colOff>177800</xdr:colOff>
      <xdr:row>68</xdr:row>
      <xdr:rowOff>152400</xdr:rowOff>
    </xdr:from>
    <xdr:to>
      <xdr:col>84</xdr:col>
      <xdr:colOff>622300</xdr:colOff>
      <xdr:row>82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A9C559C-7AFF-2211-ACE5-D73D7568C5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72</xdr:col>
      <xdr:colOff>0</xdr:colOff>
      <xdr:row>59</xdr:row>
      <xdr:rowOff>0</xdr:rowOff>
    </xdr:from>
    <xdr:to>
      <xdr:col>80</xdr:col>
      <xdr:colOff>495300</xdr:colOff>
      <xdr:row>83</xdr:row>
      <xdr:rowOff>152400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A9A1A83-ED1C-2F4C-9895-65599841D6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56</xdr:col>
      <xdr:colOff>127000</xdr:colOff>
      <xdr:row>74</xdr:row>
      <xdr:rowOff>57150</xdr:rowOff>
    </xdr:from>
    <xdr:to>
      <xdr:col>62</xdr:col>
      <xdr:colOff>508000</xdr:colOff>
      <xdr:row>92</xdr:row>
      <xdr:rowOff>165100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5B485ADB-E844-32ED-6BB9-279936723D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5EA8B0-9163-EC41-A93B-6EE5F4536430}">
  <dimension ref="A1:BZ75"/>
  <sheetViews>
    <sheetView topLeftCell="BN36" workbookViewId="0">
      <selection activeCell="BZ51" sqref="BZ51"/>
    </sheetView>
  </sheetViews>
  <sheetFormatPr baseColWidth="10" defaultRowHeight="16" x14ac:dyDescent="0.2"/>
  <cols>
    <col min="2" max="2" width="74.1640625" bestFit="1" customWidth="1"/>
  </cols>
  <sheetData>
    <row r="1" spans="1:78" x14ac:dyDescent="0.2">
      <c r="A1" t="s">
        <v>0</v>
      </c>
    </row>
    <row r="2" spans="1:78" x14ac:dyDescent="0.2">
      <c r="A2" t="s">
        <v>0</v>
      </c>
    </row>
    <row r="3" spans="1:78" x14ac:dyDescent="0.2">
      <c r="A3" t="s">
        <v>1</v>
      </c>
    </row>
    <row r="4" spans="1:78" x14ac:dyDescent="0.2">
      <c r="A4" t="s">
        <v>2</v>
      </c>
      <c r="B4" t="s">
        <v>3</v>
      </c>
      <c r="C4" t="s">
        <v>4</v>
      </c>
      <c r="D4" t="s">
        <v>4</v>
      </c>
      <c r="E4" t="s">
        <v>4</v>
      </c>
      <c r="F4" t="s">
        <v>4</v>
      </c>
      <c r="G4" t="s">
        <v>4</v>
      </c>
      <c r="H4" t="s">
        <v>4</v>
      </c>
      <c r="I4" t="s">
        <v>4</v>
      </c>
      <c r="J4" t="s">
        <v>4</v>
      </c>
      <c r="K4" t="s">
        <v>4</v>
      </c>
      <c r="L4" t="s">
        <v>4</v>
      </c>
      <c r="M4" t="s">
        <v>4</v>
      </c>
      <c r="N4" t="s">
        <v>4</v>
      </c>
      <c r="O4" t="s">
        <v>4</v>
      </c>
      <c r="P4" t="s">
        <v>4</v>
      </c>
      <c r="Q4" t="s">
        <v>4</v>
      </c>
      <c r="R4" t="s">
        <v>4</v>
      </c>
      <c r="S4" t="s">
        <v>4</v>
      </c>
      <c r="T4" t="s">
        <v>4</v>
      </c>
      <c r="U4" t="s">
        <v>4</v>
      </c>
      <c r="V4" t="s">
        <v>4</v>
      </c>
      <c r="W4" t="s">
        <v>4</v>
      </c>
      <c r="X4" t="s">
        <v>4</v>
      </c>
      <c r="Y4" t="s">
        <v>4</v>
      </c>
      <c r="Z4" t="s">
        <v>4</v>
      </c>
      <c r="AA4" t="s">
        <v>4</v>
      </c>
      <c r="AB4" t="s">
        <v>4</v>
      </c>
      <c r="AC4" t="s">
        <v>4</v>
      </c>
      <c r="AD4" t="s">
        <v>4</v>
      </c>
      <c r="AE4" t="s">
        <v>4</v>
      </c>
      <c r="AF4" t="s">
        <v>4</v>
      </c>
      <c r="AG4" t="s">
        <v>4</v>
      </c>
      <c r="AH4" t="s">
        <v>4</v>
      </c>
      <c r="AI4" t="s">
        <v>4</v>
      </c>
      <c r="AJ4" t="s">
        <v>4</v>
      </c>
      <c r="AK4" t="s">
        <v>4</v>
      </c>
      <c r="AL4" t="s">
        <v>4</v>
      </c>
      <c r="AM4" t="s">
        <v>4</v>
      </c>
      <c r="AN4" t="s">
        <v>4</v>
      </c>
      <c r="AO4" t="s">
        <v>4</v>
      </c>
      <c r="AP4" t="s">
        <v>4</v>
      </c>
      <c r="AQ4" t="s">
        <v>4</v>
      </c>
      <c r="AR4" t="s">
        <v>4</v>
      </c>
      <c r="AS4" t="s">
        <v>4</v>
      </c>
      <c r="AT4" t="s">
        <v>4</v>
      </c>
      <c r="AU4" t="s">
        <v>4</v>
      </c>
      <c r="AV4" t="s">
        <v>4</v>
      </c>
      <c r="AW4" t="s">
        <v>4</v>
      </c>
      <c r="AX4" t="s">
        <v>4</v>
      </c>
      <c r="AY4" t="s">
        <v>4</v>
      </c>
      <c r="AZ4" t="s">
        <v>4</v>
      </c>
      <c r="BA4" t="s">
        <v>4</v>
      </c>
      <c r="BB4" t="s">
        <v>4</v>
      </c>
      <c r="BC4" t="s">
        <v>4</v>
      </c>
      <c r="BD4" t="s">
        <v>4</v>
      </c>
      <c r="BE4" t="s">
        <v>4</v>
      </c>
      <c r="BF4" t="s">
        <v>4</v>
      </c>
      <c r="BG4" t="s">
        <v>4</v>
      </c>
      <c r="BH4" t="s">
        <v>4</v>
      </c>
      <c r="BI4" t="s">
        <v>4</v>
      </c>
      <c r="BJ4" t="s">
        <v>4</v>
      </c>
      <c r="BK4" t="s">
        <v>4</v>
      </c>
      <c r="BL4" t="s">
        <v>4</v>
      </c>
      <c r="BM4" t="s">
        <v>4</v>
      </c>
      <c r="BN4" t="s">
        <v>4</v>
      </c>
      <c r="BO4" t="s">
        <v>4</v>
      </c>
      <c r="BP4" t="s">
        <v>4</v>
      </c>
      <c r="BQ4" t="s">
        <v>4</v>
      </c>
      <c r="BR4" t="s">
        <v>4</v>
      </c>
      <c r="BS4" t="s">
        <v>4</v>
      </c>
      <c r="BT4" t="s">
        <v>4</v>
      </c>
      <c r="BU4" t="s">
        <v>4</v>
      </c>
      <c r="BV4" t="s">
        <v>4</v>
      </c>
      <c r="BW4" t="s">
        <v>4</v>
      </c>
      <c r="BX4" t="s">
        <v>4</v>
      </c>
      <c r="BY4" t="s">
        <v>4</v>
      </c>
      <c r="BZ4" t="s">
        <v>4</v>
      </c>
    </row>
    <row r="5" spans="1:78" x14ac:dyDescent="0.2">
      <c r="A5" t="s">
        <v>2</v>
      </c>
      <c r="B5" t="s">
        <v>3</v>
      </c>
      <c r="C5">
        <v>2006</v>
      </c>
      <c r="D5">
        <v>2006</v>
      </c>
      <c r="E5">
        <v>2006</v>
      </c>
      <c r="F5">
        <v>2006</v>
      </c>
      <c r="G5">
        <v>2007</v>
      </c>
      <c r="H5">
        <v>2007</v>
      </c>
      <c r="I5">
        <v>2007</v>
      </c>
      <c r="J5">
        <v>2007</v>
      </c>
      <c r="K5">
        <v>2008</v>
      </c>
      <c r="L5">
        <v>2008</v>
      </c>
      <c r="M5">
        <v>2008</v>
      </c>
      <c r="N5">
        <v>2008</v>
      </c>
      <c r="O5">
        <v>2009</v>
      </c>
      <c r="P5">
        <v>2009</v>
      </c>
      <c r="Q5">
        <v>2009</v>
      </c>
      <c r="R5">
        <v>2009</v>
      </c>
      <c r="S5">
        <v>2010</v>
      </c>
      <c r="T5">
        <v>2010</v>
      </c>
      <c r="U5">
        <v>2010</v>
      </c>
      <c r="V5">
        <v>2010</v>
      </c>
      <c r="W5">
        <v>2011</v>
      </c>
      <c r="X5">
        <v>2011</v>
      </c>
      <c r="Y5">
        <v>2011</v>
      </c>
      <c r="Z5">
        <v>2011</v>
      </c>
      <c r="AA5">
        <v>2012</v>
      </c>
      <c r="AB5">
        <v>2012</v>
      </c>
      <c r="AC5">
        <v>2012</v>
      </c>
      <c r="AD5">
        <v>2012</v>
      </c>
      <c r="AE5">
        <v>2013</v>
      </c>
      <c r="AF5">
        <v>2013</v>
      </c>
      <c r="AG5">
        <v>2013</v>
      </c>
      <c r="AH5">
        <v>2013</v>
      </c>
      <c r="AI5">
        <v>2014</v>
      </c>
      <c r="AJ5">
        <v>2014</v>
      </c>
      <c r="AK5">
        <v>2014</v>
      </c>
      <c r="AL5">
        <v>2014</v>
      </c>
      <c r="AM5">
        <v>2015</v>
      </c>
      <c r="AN5">
        <v>2015</v>
      </c>
      <c r="AO5">
        <v>2015</v>
      </c>
      <c r="AP5">
        <v>2015</v>
      </c>
      <c r="AQ5">
        <v>2016</v>
      </c>
      <c r="AR5">
        <v>2016</v>
      </c>
      <c r="AS5">
        <v>2016</v>
      </c>
      <c r="AT5">
        <v>2016</v>
      </c>
      <c r="AU5">
        <v>2017</v>
      </c>
      <c r="AV5">
        <v>2017</v>
      </c>
      <c r="AW5">
        <v>2017</v>
      </c>
      <c r="AX5">
        <v>2017</v>
      </c>
      <c r="AY5">
        <v>2018</v>
      </c>
      <c r="AZ5">
        <v>2018</v>
      </c>
      <c r="BA5">
        <v>2018</v>
      </c>
      <c r="BB5">
        <v>2018</v>
      </c>
      <c r="BC5">
        <v>2019</v>
      </c>
      <c r="BD5">
        <v>2019</v>
      </c>
      <c r="BE5">
        <v>2019</v>
      </c>
      <c r="BF5">
        <v>2019</v>
      </c>
      <c r="BG5">
        <v>2020</v>
      </c>
      <c r="BH5">
        <v>2020</v>
      </c>
      <c r="BI5">
        <v>2020</v>
      </c>
      <c r="BJ5">
        <v>2020</v>
      </c>
      <c r="BK5">
        <v>2021</v>
      </c>
      <c r="BL5">
        <v>2021</v>
      </c>
      <c r="BM5">
        <v>2021</v>
      </c>
      <c r="BN5">
        <v>2021</v>
      </c>
      <c r="BO5">
        <v>2022</v>
      </c>
      <c r="BP5">
        <v>2022</v>
      </c>
      <c r="BQ5">
        <v>2022</v>
      </c>
      <c r="BR5">
        <v>2022</v>
      </c>
      <c r="BS5">
        <v>2023</v>
      </c>
      <c r="BT5">
        <v>2023</v>
      </c>
      <c r="BU5">
        <v>2023</v>
      </c>
      <c r="BV5">
        <v>2023</v>
      </c>
      <c r="BW5">
        <v>2024</v>
      </c>
      <c r="BX5">
        <v>2024</v>
      </c>
      <c r="BY5">
        <v>2024</v>
      </c>
      <c r="BZ5">
        <v>2024</v>
      </c>
    </row>
    <row r="6" spans="1:78" x14ac:dyDescent="0.2">
      <c r="A6" t="s">
        <v>2</v>
      </c>
      <c r="B6" t="s">
        <v>3</v>
      </c>
      <c r="C6" t="s">
        <v>5</v>
      </c>
      <c r="D6" t="s">
        <v>6</v>
      </c>
      <c r="E6" t="s">
        <v>7</v>
      </c>
      <c r="F6" t="s">
        <v>8</v>
      </c>
      <c r="G6" t="s">
        <v>5</v>
      </c>
      <c r="H6" t="s">
        <v>6</v>
      </c>
      <c r="I6" t="s">
        <v>7</v>
      </c>
      <c r="J6" t="s">
        <v>8</v>
      </c>
      <c r="K6" t="s">
        <v>5</v>
      </c>
      <c r="L6" t="s">
        <v>6</v>
      </c>
      <c r="M6" t="s">
        <v>7</v>
      </c>
      <c r="N6" t="s">
        <v>8</v>
      </c>
      <c r="O6" t="s">
        <v>5</v>
      </c>
      <c r="P6" t="s">
        <v>6</v>
      </c>
      <c r="Q6" t="s">
        <v>7</v>
      </c>
      <c r="R6" t="s">
        <v>8</v>
      </c>
      <c r="S6" t="s">
        <v>5</v>
      </c>
      <c r="T6" t="s">
        <v>6</v>
      </c>
      <c r="U6" t="s">
        <v>7</v>
      </c>
      <c r="V6" t="s">
        <v>8</v>
      </c>
      <c r="W6" t="s">
        <v>5</v>
      </c>
      <c r="X6" t="s">
        <v>6</v>
      </c>
      <c r="Y6" t="s">
        <v>7</v>
      </c>
      <c r="Z6" t="s">
        <v>8</v>
      </c>
      <c r="AA6" t="s">
        <v>5</v>
      </c>
      <c r="AB6" t="s">
        <v>6</v>
      </c>
      <c r="AC6" t="s">
        <v>7</v>
      </c>
      <c r="AD6" t="s">
        <v>8</v>
      </c>
      <c r="AE6" t="s">
        <v>5</v>
      </c>
      <c r="AF6" t="s">
        <v>6</v>
      </c>
      <c r="AG6" t="s">
        <v>7</v>
      </c>
      <c r="AH6" t="s">
        <v>8</v>
      </c>
      <c r="AI6" t="s">
        <v>5</v>
      </c>
      <c r="AJ6" t="s">
        <v>6</v>
      </c>
      <c r="AK6" t="s">
        <v>7</v>
      </c>
      <c r="AL6" t="s">
        <v>8</v>
      </c>
      <c r="AM6" t="s">
        <v>5</v>
      </c>
      <c r="AN6" t="s">
        <v>6</v>
      </c>
      <c r="AO6" t="s">
        <v>7</v>
      </c>
      <c r="AP6" t="s">
        <v>8</v>
      </c>
      <c r="AQ6" t="s">
        <v>5</v>
      </c>
      <c r="AR6" t="s">
        <v>6</v>
      </c>
      <c r="AS6" t="s">
        <v>7</v>
      </c>
      <c r="AT6" t="s">
        <v>8</v>
      </c>
      <c r="AU6" t="s">
        <v>5</v>
      </c>
      <c r="AV6" t="s">
        <v>6</v>
      </c>
      <c r="AW6" t="s">
        <v>7</v>
      </c>
      <c r="AX6" t="s">
        <v>8</v>
      </c>
      <c r="AY6" t="s">
        <v>5</v>
      </c>
      <c r="AZ6" t="s">
        <v>6</v>
      </c>
      <c r="BA6" t="s">
        <v>7</v>
      </c>
      <c r="BB6" t="s">
        <v>8</v>
      </c>
      <c r="BC6" t="s">
        <v>5</v>
      </c>
      <c r="BD6" t="s">
        <v>6</v>
      </c>
      <c r="BE6" t="s">
        <v>7</v>
      </c>
      <c r="BF6" t="s">
        <v>8</v>
      </c>
      <c r="BG6" t="s">
        <v>5</v>
      </c>
      <c r="BH6" t="s">
        <v>6</v>
      </c>
      <c r="BI6" t="s">
        <v>7</v>
      </c>
      <c r="BJ6" t="s">
        <v>8</v>
      </c>
      <c r="BK6" t="s">
        <v>5</v>
      </c>
      <c r="BL6" t="s">
        <v>6</v>
      </c>
      <c r="BM6" t="s">
        <v>7</v>
      </c>
      <c r="BN6" t="s">
        <v>8</v>
      </c>
      <c r="BO6" t="s">
        <v>5</v>
      </c>
      <c r="BP6" t="s">
        <v>6</v>
      </c>
      <c r="BQ6" t="s">
        <v>7</v>
      </c>
      <c r="BR6" t="s">
        <v>8</v>
      </c>
      <c r="BS6" t="s">
        <v>5</v>
      </c>
      <c r="BT6" t="s">
        <v>6</v>
      </c>
      <c r="BU6" t="s">
        <v>7</v>
      </c>
      <c r="BV6" t="s">
        <v>8</v>
      </c>
      <c r="BW6" t="s">
        <v>5</v>
      </c>
      <c r="BX6" t="s">
        <v>6</v>
      </c>
      <c r="BY6" t="s">
        <v>7</v>
      </c>
      <c r="BZ6" t="s">
        <v>8</v>
      </c>
    </row>
    <row r="7" spans="1:78" x14ac:dyDescent="0.2">
      <c r="A7">
        <v>1</v>
      </c>
      <c r="B7" t="s">
        <v>9</v>
      </c>
      <c r="C7">
        <v>-1655616</v>
      </c>
      <c r="D7">
        <v>-1678770</v>
      </c>
      <c r="E7">
        <v>-2005759</v>
      </c>
      <c r="F7">
        <v>-1807819</v>
      </c>
      <c r="G7">
        <v>-1654166</v>
      </c>
      <c r="H7">
        <v>-1421382</v>
      </c>
      <c r="I7">
        <v>-1231443</v>
      </c>
      <c r="J7">
        <v>-1278830</v>
      </c>
      <c r="K7">
        <v>-1849030</v>
      </c>
      <c r="L7">
        <v>-1834418</v>
      </c>
      <c r="M7">
        <v>-3309018</v>
      </c>
      <c r="N7">
        <v>-3994625</v>
      </c>
      <c r="O7">
        <v>-3856030</v>
      </c>
      <c r="P7">
        <v>-3199376</v>
      </c>
      <c r="Q7">
        <v>-2669479</v>
      </c>
      <c r="R7">
        <v>-2626940</v>
      </c>
      <c r="S7">
        <v>-2769046</v>
      </c>
      <c r="T7">
        <v>-3180635</v>
      </c>
      <c r="U7">
        <v>-2746288</v>
      </c>
      <c r="V7">
        <v>-2511072</v>
      </c>
      <c r="W7">
        <v>-2638416</v>
      </c>
      <c r="X7">
        <v>-2785304</v>
      </c>
      <c r="Y7">
        <v>-4134034</v>
      </c>
      <c r="Z7">
        <v>-4454616</v>
      </c>
      <c r="AA7">
        <v>-4604772</v>
      </c>
      <c r="AB7">
        <v>-5259919</v>
      </c>
      <c r="AC7">
        <v>-5000197</v>
      </c>
      <c r="AD7">
        <v>-4569528</v>
      </c>
      <c r="AE7">
        <v>-5094143</v>
      </c>
      <c r="AF7">
        <v>-5527281</v>
      </c>
      <c r="AG7">
        <v>-4994325</v>
      </c>
      <c r="AH7">
        <v>-5443587</v>
      </c>
      <c r="AI7">
        <v>-5503555</v>
      </c>
      <c r="AJ7">
        <v>-5490052</v>
      </c>
      <c r="AK7">
        <v>-6206947</v>
      </c>
      <c r="AL7">
        <v>-7021188</v>
      </c>
      <c r="AM7">
        <v>-6960663</v>
      </c>
      <c r="AN7">
        <v>-6874739</v>
      </c>
      <c r="AO7">
        <v>-7427021</v>
      </c>
      <c r="AP7">
        <v>-7590470</v>
      </c>
      <c r="AQ7">
        <v>-7886675</v>
      </c>
      <c r="AR7">
        <v>-8340977</v>
      </c>
      <c r="AS7">
        <v>-8104523</v>
      </c>
      <c r="AT7">
        <v>-8258387</v>
      </c>
      <c r="AU7">
        <v>-8091781</v>
      </c>
      <c r="AV7">
        <v>-7959439</v>
      </c>
      <c r="AW7">
        <v>-7743743</v>
      </c>
      <c r="AX7">
        <v>-7830723</v>
      </c>
      <c r="AY7">
        <v>-7944390</v>
      </c>
      <c r="AZ7">
        <v>-8915229</v>
      </c>
      <c r="BA7">
        <v>-9668234</v>
      </c>
      <c r="BB7">
        <v>-9795821</v>
      </c>
      <c r="BC7">
        <v>-10349908</v>
      </c>
      <c r="BD7">
        <v>-10738701</v>
      </c>
      <c r="BE7">
        <v>-11520386</v>
      </c>
      <c r="BF7">
        <v>-11666440</v>
      </c>
      <c r="BG7">
        <v>-12608703</v>
      </c>
      <c r="BH7">
        <v>-13599447</v>
      </c>
      <c r="BI7">
        <v>-14460621</v>
      </c>
      <c r="BJ7">
        <v>-14721004</v>
      </c>
      <c r="BK7">
        <v>-15050086</v>
      </c>
      <c r="BL7">
        <v>-16098813</v>
      </c>
      <c r="BM7">
        <v>-16448862</v>
      </c>
      <c r="BN7">
        <v>-18832520</v>
      </c>
      <c r="BO7">
        <v>-18340500</v>
      </c>
      <c r="BP7">
        <v>-16640751</v>
      </c>
      <c r="BQ7">
        <v>-16859325</v>
      </c>
      <c r="BR7">
        <v>-16263908</v>
      </c>
      <c r="BS7">
        <v>-16933306</v>
      </c>
      <c r="BT7">
        <v>-18249600</v>
      </c>
      <c r="BU7">
        <v>-18297214</v>
      </c>
      <c r="BV7">
        <v>-19853154</v>
      </c>
      <c r="BW7">
        <v>-21288760</v>
      </c>
      <c r="BX7">
        <v>-22545897</v>
      </c>
      <c r="BY7">
        <v>-24153554</v>
      </c>
      <c r="BZ7">
        <v>-26232125</v>
      </c>
    </row>
    <row r="8" spans="1:78" x14ac:dyDescent="0.2">
      <c r="A8">
        <v>2</v>
      </c>
      <c r="B8" t="s">
        <v>10</v>
      </c>
      <c r="C8">
        <v>-1721972</v>
      </c>
      <c r="D8">
        <v>-1746709</v>
      </c>
      <c r="E8">
        <v>-2066066</v>
      </c>
      <c r="F8">
        <v>-1867655</v>
      </c>
      <c r="G8">
        <v>-1711138</v>
      </c>
      <c r="H8">
        <v>-1478196</v>
      </c>
      <c r="I8">
        <v>-1302392</v>
      </c>
      <c r="J8">
        <v>-1350302</v>
      </c>
      <c r="K8">
        <v>-1979787</v>
      </c>
      <c r="L8">
        <v>-1944780</v>
      </c>
      <c r="M8">
        <v>-3412332</v>
      </c>
      <c r="N8">
        <v>-4154260</v>
      </c>
      <c r="O8">
        <v>-4007589</v>
      </c>
      <c r="P8">
        <v>-3360924</v>
      </c>
      <c r="Q8">
        <v>-2815123</v>
      </c>
      <c r="R8">
        <v>-2753275</v>
      </c>
      <c r="S8">
        <v>-2882280</v>
      </c>
      <c r="T8">
        <v>-3279847</v>
      </c>
      <c r="U8">
        <v>-2850799</v>
      </c>
      <c r="V8">
        <v>-2621454</v>
      </c>
      <c r="W8">
        <v>-2743614</v>
      </c>
      <c r="X8">
        <v>-2883499</v>
      </c>
      <c r="Y8">
        <v>-4239942</v>
      </c>
      <c r="Z8">
        <v>-4540655</v>
      </c>
      <c r="AA8">
        <v>-4681058</v>
      </c>
      <c r="AB8">
        <v>-5327508</v>
      </c>
      <c r="AC8">
        <v>-5052690</v>
      </c>
      <c r="AD8">
        <v>-4627304</v>
      </c>
      <c r="AE8">
        <v>-5134168</v>
      </c>
      <c r="AF8">
        <v>-5586633</v>
      </c>
      <c r="AG8">
        <v>-5042288</v>
      </c>
      <c r="AH8">
        <v>-5521144</v>
      </c>
      <c r="AI8">
        <v>-5573183</v>
      </c>
      <c r="AJ8">
        <v>-5555435</v>
      </c>
      <c r="AK8">
        <v>-6288013</v>
      </c>
      <c r="AL8">
        <v>-7106720</v>
      </c>
      <c r="AM8">
        <v>-7049341</v>
      </c>
      <c r="AN8">
        <v>-6923179</v>
      </c>
      <c r="AO8">
        <v>-7483051</v>
      </c>
      <c r="AP8">
        <v>-7644948</v>
      </c>
      <c r="AQ8">
        <v>-7921934</v>
      </c>
      <c r="AR8">
        <v>-8394848</v>
      </c>
      <c r="AS8">
        <v>-8155907</v>
      </c>
      <c r="AT8">
        <v>-8316565</v>
      </c>
      <c r="AU8">
        <v>-8131252</v>
      </c>
      <c r="AV8">
        <v>-7996492</v>
      </c>
      <c r="AW8">
        <v>-7777520</v>
      </c>
      <c r="AX8">
        <v>-7868368</v>
      </c>
      <c r="AY8">
        <v>-8004486</v>
      </c>
      <c r="AZ8">
        <v>-8986489</v>
      </c>
      <c r="BA8">
        <v>-9734888</v>
      </c>
      <c r="BB8">
        <v>-9837863</v>
      </c>
      <c r="BC8">
        <v>-10385501</v>
      </c>
      <c r="BD8">
        <v>-10754467</v>
      </c>
      <c r="BE8">
        <v>-11550778</v>
      </c>
      <c r="BF8">
        <v>-11686591</v>
      </c>
      <c r="BG8">
        <v>-12642752</v>
      </c>
      <c r="BH8">
        <v>-13621666</v>
      </c>
      <c r="BI8">
        <v>-14487562</v>
      </c>
      <c r="BJ8">
        <v>-14714309</v>
      </c>
      <c r="BK8">
        <v>-15083188</v>
      </c>
      <c r="BL8">
        <v>-16138231</v>
      </c>
      <c r="BM8">
        <v>-16483929</v>
      </c>
      <c r="BN8">
        <v>-18854573</v>
      </c>
      <c r="BO8">
        <v>-18405424</v>
      </c>
      <c r="BP8">
        <v>-16712172</v>
      </c>
      <c r="BQ8">
        <v>-16977724</v>
      </c>
      <c r="BR8">
        <v>-16333405</v>
      </c>
      <c r="BS8">
        <v>-16975702</v>
      </c>
      <c r="BT8">
        <v>-18277259</v>
      </c>
      <c r="BU8">
        <v>-18360529</v>
      </c>
      <c r="BV8">
        <v>-19847700</v>
      </c>
      <c r="BW8">
        <v>-21312502</v>
      </c>
      <c r="BX8">
        <v>-22541003</v>
      </c>
      <c r="BY8">
        <v>-24131413</v>
      </c>
      <c r="BZ8">
        <v>-26264275</v>
      </c>
    </row>
    <row r="9" spans="1:78" x14ac:dyDescent="0.2">
      <c r="A9">
        <v>3</v>
      </c>
      <c r="B9" t="s">
        <v>11</v>
      </c>
      <c r="C9">
        <v>66356</v>
      </c>
      <c r="D9">
        <v>67939</v>
      </c>
      <c r="E9">
        <v>60307</v>
      </c>
      <c r="F9">
        <v>59836</v>
      </c>
      <c r="G9">
        <v>56972</v>
      </c>
      <c r="H9">
        <v>56814</v>
      </c>
      <c r="I9">
        <v>70949</v>
      </c>
      <c r="J9">
        <v>71472</v>
      </c>
      <c r="K9">
        <v>130757</v>
      </c>
      <c r="L9">
        <v>110362</v>
      </c>
      <c r="M9">
        <v>103314</v>
      </c>
      <c r="N9">
        <v>159635</v>
      </c>
      <c r="O9">
        <v>151559</v>
      </c>
      <c r="P9">
        <v>161548</v>
      </c>
      <c r="Q9">
        <v>145644</v>
      </c>
      <c r="R9">
        <v>126335</v>
      </c>
      <c r="S9">
        <v>113234</v>
      </c>
      <c r="T9">
        <v>99212</v>
      </c>
      <c r="U9">
        <v>104511</v>
      </c>
      <c r="V9">
        <v>110382</v>
      </c>
      <c r="W9">
        <v>105198</v>
      </c>
      <c r="X9">
        <v>98195</v>
      </c>
      <c r="Y9">
        <v>105908</v>
      </c>
      <c r="Z9">
        <v>86039</v>
      </c>
      <c r="AA9">
        <v>76286</v>
      </c>
      <c r="AB9">
        <v>67589</v>
      </c>
      <c r="AC9">
        <v>52493</v>
      </c>
      <c r="AD9">
        <v>57776</v>
      </c>
      <c r="AE9">
        <v>40025</v>
      </c>
      <c r="AF9">
        <v>59352</v>
      </c>
      <c r="AG9">
        <v>47963</v>
      </c>
      <c r="AH9">
        <v>77557</v>
      </c>
      <c r="AI9">
        <v>69628</v>
      </c>
      <c r="AJ9">
        <v>65383</v>
      </c>
      <c r="AK9">
        <v>81066</v>
      </c>
      <c r="AL9">
        <v>85532</v>
      </c>
      <c r="AM9">
        <v>88678</v>
      </c>
      <c r="AN9">
        <v>48440</v>
      </c>
      <c r="AO9">
        <v>56030</v>
      </c>
      <c r="AP9">
        <v>54478</v>
      </c>
      <c r="AQ9">
        <v>35259</v>
      </c>
      <c r="AR9">
        <v>53871</v>
      </c>
      <c r="AS9">
        <v>51384</v>
      </c>
      <c r="AT9">
        <v>58178</v>
      </c>
      <c r="AU9">
        <v>39471</v>
      </c>
      <c r="AV9">
        <v>37053</v>
      </c>
      <c r="AW9">
        <v>33777</v>
      </c>
      <c r="AX9">
        <v>37645</v>
      </c>
      <c r="AY9">
        <v>60096</v>
      </c>
      <c r="AZ9">
        <v>71260</v>
      </c>
      <c r="BA9">
        <v>66654</v>
      </c>
      <c r="BB9">
        <v>42042</v>
      </c>
      <c r="BC9">
        <v>35593</v>
      </c>
      <c r="BD9">
        <v>15766</v>
      </c>
      <c r="BE9">
        <v>30392</v>
      </c>
      <c r="BF9">
        <v>20151</v>
      </c>
      <c r="BG9">
        <v>34049</v>
      </c>
      <c r="BH9">
        <v>22219</v>
      </c>
      <c r="BI9">
        <v>26941</v>
      </c>
      <c r="BJ9">
        <v>-6695</v>
      </c>
      <c r="BK9">
        <v>33102</v>
      </c>
      <c r="BL9">
        <v>39418</v>
      </c>
      <c r="BM9">
        <v>35067</v>
      </c>
      <c r="BN9">
        <v>22053</v>
      </c>
      <c r="BO9">
        <v>64924</v>
      </c>
      <c r="BP9">
        <v>71421</v>
      </c>
      <c r="BQ9">
        <v>118399</v>
      </c>
      <c r="BR9">
        <v>69497</v>
      </c>
      <c r="BS9">
        <v>42396</v>
      </c>
      <c r="BT9">
        <v>27659</v>
      </c>
      <c r="BU9">
        <v>63315</v>
      </c>
      <c r="BV9">
        <v>-5454</v>
      </c>
      <c r="BW9">
        <v>23742</v>
      </c>
      <c r="BX9">
        <v>-4894</v>
      </c>
      <c r="BY9">
        <v>-22141</v>
      </c>
      <c r="BZ9">
        <v>32150</v>
      </c>
    </row>
    <row r="10" spans="1:78" x14ac:dyDescent="0.2">
      <c r="A10">
        <v>4</v>
      </c>
      <c r="B10" t="s">
        <v>12</v>
      </c>
      <c r="C10">
        <v>14467068</v>
      </c>
      <c r="D10">
        <v>14806337</v>
      </c>
      <c r="E10">
        <v>15275987</v>
      </c>
      <c r="F10">
        <v>16410512</v>
      </c>
      <c r="G10">
        <v>17306534</v>
      </c>
      <c r="H10">
        <v>18840930</v>
      </c>
      <c r="I10">
        <v>19682090</v>
      </c>
      <c r="J10">
        <v>20705167</v>
      </c>
      <c r="K10">
        <v>21887108</v>
      </c>
      <c r="L10">
        <v>21014074</v>
      </c>
      <c r="M10">
        <v>18432270</v>
      </c>
      <c r="N10">
        <v>19424093</v>
      </c>
      <c r="O10">
        <v>18148073</v>
      </c>
      <c r="P10">
        <v>17932847</v>
      </c>
      <c r="Q10">
        <v>19733631</v>
      </c>
      <c r="R10">
        <v>19427145</v>
      </c>
      <c r="S10">
        <v>19753660</v>
      </c>
      <c r="T10">
        <v>19797436</v>
      </c>
      <c r="U10">
        <v>21967350</v>
      </c>
      <c r="V10">
        <v>21768547</v>
      </c>
      <c r="W10">
        <v>22149888</v>
      </c>
      <c r="X10">
        <v>22448435</v>
      </c>
      <c r="Y10">
        <v>22301117</v>
      </c>
      <c r="Z10">
        <v>22209642</v>
      </c>
      <c r="AA10">
        <v>22217244</v>
      </c>
      <c r="AB10">
        <v>21507400</v>
      </c>
      <c r="AC10">
        <v>22313108</v>
      </c>
      <c r="AD10">
        <v>22510646</v>
      </c>
      <c r="AE10">
        <v>22673773</v>
      </c>
      <c r="AF10">
        <v>21943702</v>
      </c>
      <c r="AG10">
        <v>22984040</v>
      </c>
      <c r="AH10">
        <v>24069833</v>
      </c>
      <c r="AI10">
        <v>24138172</v>
      </c>
      <c r="AJ10">
        <v>25058628</v>
      </c>
      <c r="AK10">
        <v>24670264</v>
      </c>
      <c r="AL10">
        <v>24807117</v>
      </c>
      <c r="AM10">
        <v>25557267</v>
      </c>
      <c r="AN10">
        <v>24687943</v>
      </c>
      <c r="AO10">
        <v>23454177</v>
      </c>
      <c r="AP10">
        <v>23301747</v>
      </c>
      <c r="AQ10">
        <v>24028020</v>
      </c>
      <c r="AR10">
        <v>24495322</v>
      </c>
      <c r="AS10">
        <v>24767661</v>
      </c>
      <c r="AT10">
        <v>23902371</v>
      </c>
      <c r="AU10">
        <v>24905497</v>
      </c>
      <c r="AV10">
        <v>25900193</v>
      </c>
      <c r="AW10">
        <v>26916461</v>
      </c>
      <c r="AX10">
        <v>27582069</v>
      </c>
      <c r="AY10">
        <v>27499863</v>
      </c>
      <c r="AZ10">
        <v>26931468</v>
      </c>
      <c r="BA10">
        <v>27061288</v>
      </c>
      <c r="BB10">
        <v>25106757</v>
      </c>
      <c r="BC10">
        <v>26676030</v>
      </c>
      <c r="BD10">
        <v>27559259</v>
      </c>
      <c r="BE10">
        <v>27793567</v>
      </c>
      <c r="BF10">
        <v>28845177</v>
      </c>
      <c r="BG10">
        <v>26707536</v>
      </c>
      <c r="BH10">
        <v>28547474</v>
      </c>
      <c r="BI10">
        <v>29286432</v>
      </c>
      <c r="BJ10">
        <v>32023156</v>
      </c>
      <c r="BK10">
        <v>32677134</v>
      </c>
      <c r="BL10">
        <v>34132136</v>
      </c>
      <c r="BM10">
        <v>34224166</v>
      </c>
      <c r="BN10">
        <v>34942937</v>
      </c>
      <c r="BO10">
        <v>33937623</v>
      </c>
      <c r="BP10">
        <v>30899865</v>
      </c>
      <c r="BQ10">
        <v>29590096</v>
      </c>
      <c r="BR10">
        <v>31440286</v>
      </c>
      <c r="BS10">
        <v>32540502</v>
      </c>
      <c r="BT10">
        <v>33333612</v>
      </c>
      <c r="BU10">
        <v>32660649</v>
      </c>
      <c r="BV10">
        <v>34399648</v>
      </c>
      <c r="BW10">
        <v>35828902</v>
      </c>
      <c r="BX10">
        <v>36083070</v>
      </c>
      <c r="BY10">
        <v>37657833</v>
      </c>
      <c r="BZ10">
        <v>35885452</v>
      </c>
    </row>
    <row r="11" spans="1:78" x14ac:dyDescent="0.2">
      <c r="A11">
        <v>5</v>
      </c>
      <c r="B11" t="s">
        <v>13</v>
      </c>
      <c r="C11">
        <v>13277212</v>
      </c>
      <c r="D11">
        <v>13510287</v>
      </c>
      <c r="E11">
        <v>14081823</v>
      </c>
      <c r="F11">
        <v>15171517</v>
      </c>
      <c r="G11">
        <v>16050959</v>
      </c>
      <c r="H11">
        <v>17294218</v>
      </c>
      <c r="I11">
        <v>17961485</v>
      </c>
      <c r="J11">
        <v>18145835</v>
      </c>
      <c r="K11">
        <v>17700833</v>
      </c>
      <c r="L11">
        <v>17375657</v>
      </c>
      <c r="M11">
        <v>15191218</v>
      </c>
      <c r="N11">
        <v>13296643</v>
      </c>
      <c r="O11">
        <v>12586222</v>
      </c>
      <c r="P11">
        <v>13878397</v>
      </c>
      <c r="Q11">
        <v>15602595</v>
      </c>
      <c r="R11">
        <v>15937366</v>
      </c>
      <c r="S11">
        <v>16324614</v>
      </c>
      <c r="T11">
        <v>15487124</v>
      </c>
      <c r="U11">
        <v>17183652</v>
      </c>
      <c r="V11">
        <v>18116234</v>
      </c>
      <c r="W11">
        <v>18955585</v>
      </c>
      <c r="X11">
        <v>18975211</v>
      </c>
      <c r="Y11">
        <v>17087519</v>
      </c>
      <c r="Z11">
        <v>17493064</v>
      </c>
      <c r="AA11">
        <v>18267005</v>
      </c>
      <c r="AB11">
        <v>17351580</v>
      </c>
      <c r="AC11">
        <v>18387502</v>
      </c>
      <c r="AD11">
        <v>18890885</v>
      </c>
      <c r="AE11">
        <v>19425396</v>
      </c>
      <c r="AF11">
        <v>19118635</v>
      </c>
      <c r="AG11">
        <v>20222624</v>
      </c>
      <c r="AH11">
        <v>21052733</v>
      </c>
      <c r="AI11">
        <v>21485262</v>
      </c>
      <c r="AJ11">
        <v>22362349</v>
      </c>
      <c r="AK11">
        <v>21883442</v>
      </c>
      <c r="AL11">
        <v>21554809</v>
      </c>
      <c r="AM11">
        <v>22148069</v>
      </c>
      <c r="AN11">
        <v>22195655</v>
      </c>
      <c r="AO11">
        <v>20686102</v>
      </c>
      <c r="AP11">
        <v>20858376</v>
      </c>
      <c r="AQ11">
        <v>20970993</v>
      </c>
      <c r="AR11">
        <v>21182452</v>
      </c>
      <c r="AS11">
        <v>21981577</v>
      </c>
      <c r="AT11">
        <v>21681918</v>
      </c>
      <c r="AU11">
        <v>22951050</v>
      </c>
      <c r="AV11">
        <v>23968852</v>
      </c>
      <c r="AW11">
        <v>25211347</v>
      </c>
      <c r="AX11">
        <v>26021253</v>
      </c>
      <c r="AY11">
        <v>25977232</v>
      </c>
      <c r="AZ11">
        <v>25405545</v>
      </c>
      <c r="BA11">
        <v>25614027</v>
      </c>
      <c r="BB11">
        <v>23657167</v>
      </c>
      <c r="BC11">
        <v>25175953</v>
      </c>
      <c r="BD11">
        <v>25787094</v>
      </c>
      <c r="BE11">
        <v>25715307</v>
      </c>
      <c r="BF11">
        <v>27054775</v>
      </c>
      <c r="BG11">
        <v>23708528</v>
      </c>
      <c r="BH11">
        <v>25796685</v>
      </c>
      <c r="BI11">
        <v>26741270</v>
      </c>
      <c r="BJ11">
        <v>29477201</v>
      </c>
      <c r="BK11">
        <v>30518221</v>
      </c>
      <c r="BL11">
        <v>32031333</v>
      </c>
      <c r="BM11">
        <v>32182981</v>
      </c>
      <c r="BN11">
        <v>32959971</v>
      </c>
      <c r="BO11">
        <v>31682776</v>
      </c>
      <c r="BP11">
        <v>28494202</v>
      </c>
      <c r="BQ11">
        <v>26763157</v>
      </c>
      <c r="BR11">
        <v>28896943</v>
      </c>
      <c r="BS11">
        <v>30347379</v>
      </c>
      <c r="BT11">
        <v>30850767</v>
      </c>
      <c r="BU11">
        <v>30077109</v>
      </c>
      <c r="BV11">
        <v>32196847</v>
      </c>
      <c r="BW11">
        <v>33659903</v>
      </c>
      <c r="BX11">
        <v>33801306</v>
      </c>
      <c r="BY11">
        <v>35119136</v>
      </c>
      <c r="BZ11">
        <v>33569285</v>
      </c>
    </row>
    <row r="12" spans="1:78" x14ac:dyDescent="0.2">
      <c r="A12">
        <v>6</v>
      </c>
      <c r="B12" t="s">
        <v>14</v>
      </c>
      <c r="C12">
        <v>1189856</v>
      </c>
      <c r="D12">
        <v>1296050</v>
      </c>
      <c r="E12">
        <v>1194164</v>
      </c>
      <c r="F12">
        <v>1238995</v>
      </c>
      <c r="G12">
        <v>1255575</v>
      </c>
      <c r="H12">
        <v>1546712</v>
      </c>
      <c r="I12">
        <v>1720605</v>
      </c>
      <c r="J12">
        <v>2559332</v>
      </c>
      <c r="K12">
        <v>4186275</v>
      </c>
      <c r="L12">
        <v>3638417</v>
      </c>
      <c r="M12">
        <v>3241052</v>
      </c>
      <c r="N12">
        <v>6127450</v>
      </c>
      <c r="O12">
        <v>5561851</v>
      </c>
      <c r="P12">
        <v>4054450</v>
      </c>
      <c r="Q12">
        <v>4131036</v>
      </c>
      <c r="R12">
        <v>3489779</v>
      </c>
      <c r="S12">
        <v>3429046</v>
      </c>
      <c r="T12">
        <v>4310312</v>
      </c>
      <c r="U12">
        <v>4783698</v>
      </c>
      <c r="V12">
        <v>3652313</v>
      </c>
      <c r="W12">
        <v>3194303</v>
      </c>
      <c r="X12">
        <v>3473224</v>
      </c>
      <c r="Y12">
        <v>5213598</v>
      </c>
      <c r="Z12">
        <v>4716578</v>
      </c>
      <c r="AA12">
        <v>3950239</v>
      </c>
      <c r="AB12">
        <v>4155820</v>
      </c>
      <c r="AC12">
        <v>3925606</v>
      </c>
      <c r="AD12">
        <v>3619761</v>
      </c>
      <c r="AE12">
        <v>3248377</v>
      </c>
      <c r="AF12">
        <v>2825067</v>
      </c>
      <c r="AG12">
        <v>2761416</v>
      </c>
      <c r="AH12">
        <v>3017100</v>
      </c>
      <c r="AI12">
        <v>2652910</v>
      </c>
      <c r="AJ12">
        <v>2696279</v>
      </c>
      <c r="AK12">
        <v>2786822</v>
      </c>
      <c r="AL12">
        <v>3252308</v>
      </c>
      <c r="AM12">
        <v>3409198</v>
      </c>
      <c r="AN12">
        <v>2492288</v>
      </c>
      <c r="AO12">
        <v>2768075</v>
      </c>
      <c r="AP12">
        <v>2443371</v>
      </c>
      <c r="AQ12">
        <v>3057027</v>
      </c>
      <c r="AR12">
        <v>3312870</v>
      </c>
      <c r="AS12">
        <v>2786084</v>
      </c>
      <c r="AT12">
        <v>2220453</v>
      </c>
      <c r="AU12">
        <v>1954447</v>
      </c>
      <c r="AV12">
        <v>1931341</v>
      </c>
      <c r="AW12">
        <v>1705114</v>
      </c>
      <c r="AX12">
        <v>1560816</v>
      </c>
      <c r="AY12">
        <v>1522631</v>
      </c>
      <c r="AZ12">
        <v>1525923</v>
      </c>
      <c r="BA12">
        <v>1447261</v>
      </c>
      <c r="BB12">
        <v>1449590</v>
      </c>
      <c r="BC12">
        <v>1500077</v>
      </c>
      <c r="BD12">
        <v>1772165</v>
      </c>
      <c r="BE12">
        <v>2078260</v>
      </c>
      <c r="BF12">
        <v>1790402</v>
      </c>
      <c r="BG12">
        <v>2999008</v>
      </c>
      <c r="BH12">
        <v>2750789</v>
      </c>
      <c r="BI12">
        <v>2545162</v>
      </c>
      <c r="BJ12">
        <v>2545955</v>
      </c>
      <c r="BK12">
        <v>2158913</v>
      </c>
      <c r="BL12">
        <v>2100803</v>
      </c>
      <c r="BM12">
        <v>2041185</v>
      </c>
      <c r="BN12">
        <v>1982966</v>
      </c>
      <c r="BO12">
        <v>2254847</v>
      </c>
      <c r="BP12">
        <v>2405663</v>
      </c>
      <c r="BQ12">
        <v>2826939</v>
      </c>
      <c r="BR12">
        <v>2543343</v>
      </c>
      <c r="BS12">
        <v>2193123</v>
      </c>
      <c r="BT12">
        <v>2482845</v>
      </c>
      <c r="BU12">
        <v>2583540</v>
      </c>
      <c r="BV12">
        <v>2202801</v>
      </c>
      <c r="BW12">
        <v>2168999</v>
      </c>
      <c r="BX12">
        <v>2281764</v>
      </c>
      <c r="BY12">
        <v>2538697</v>
      </c>
      <c r="BZ12">
        <v>2316167</v>
      </c>
    </row>
    <row r="13" spans="1:78" x14ac:dyDescent="0.2">
      <c r="B13" t="s">
        <v>15</v>
      </c>
    </row>
    <row r="14" spans="1:78" x14ac:dyDescent="0.2">
      <c r="A14">
        <v>7</v>
      </c>
      <c r="B14" t="s">
        <v>16</v>
      </c>
      <c r="C14">
        <v>4380797</v>
      </c>
      <c r="D14">
        <v>4410235</v>
      </c>
      <c r="E14">
        <v>4601077</v>
      </c>
      <c r="F14">
        <v>4929892</v>
      </c>
      <c r="G14">
        <v>5216131</v>
      </c>
      <c r="H14">
        <v>5583502</v>
      </c>
      <c r="I14">
        <v>5812922</v>
      </c>
      <c r="J14">
        <v>5857923</v>
      </c>
      <c r="K14">
        <v>5451453</v>
      </c>
      <c r="L14">
        <v>5365469</v>
      </c>
      <c r="M14">
        <v>4558476</v>
      </c>
      <c r="N14">
        <v>3707211</v>
      </c>
      <c r="O14">
        <v>3497940</v>
      </c>
      <c r="P14">
        <v>4113456</v>
      </c>
      <c r="Q14">
        <v>4794375</v>
      </c>
      <c r="R14">
        <v>4945292</v>
      </c>
      <c r="S14">
        <v>5058482</v>
      </c>
      <c r="T14">
        <v>4540945</v>
      </c>
      <c r="U14">
        <v>5163300</v>
      </c>
      <c r="V14">
        <v>5486391</v>
      </c>
      <c r="W14">
        <v>5811089</v>
      </c>
      <c r="X14">
        <v>5855672</v>
      </c>
      <c r="Y14">
        <v>4955939</v>
      </c>
      <c r="Z14">
        <v>5214826</v>
      </c>
      <c r="AA14">
        <v>5675995</v>
      </c>
      <c r="AB14">
        <v>5413818</v>
      </c>
      <c r="AC14">
        <v>5779627</v>
      </c>
      <c r="AD14">
        <v>5969502</v>
      </c>
      <c r="AE14">
        <v>6242826</v>
      </c>
      <c r="AF14">
        <v>6220248</v>
      </c>
      <c r="AG14">
        <v>6761608</v>
      </c>
      <c r="AH14">
        <v>7120688</v>
      </c>
      <c r="AI14">
        <v>7281944</v>
      </c>
      <c r="AJ14">
        <v>7590360</v>
      </c>
      <c r="AK14">
        <v>7349004</v>
      </c>
      <c r="AL14">
        <v>7242129</v>
      </c>
      <c r="AM14">
        <v>7450882</v>
      </c>
      <c r="AN14">
        <v>7490804</v>
      </c>
      <c r="AO14">
        <v>6899499</v>
      </c>
      <c r="AP14">
        <v>7057108</v>
      </c>
      <c r="AQ14">
        <v>7091226</v>
      </c>
      <c r="AR14">
        <v>7066510</v>
      </c>
      <c r="AS14">
        <v>7443347</v>
      </c>
      <c r="AT14">
        <v>7403191</v>
      </c>
      <c r="AU14">
        <v>7856674</v>
      </c>
      <c r="AV14">
        <v>8151534</v>
      </c>
      <c r="AW14">
        <v>8643317</v>
      </c>
      <c r="AX14">
        <v>8893940</v>
      </c>
      <c r="AY14">
        <v>8583542</v>
      </c>
      <c r="AZ14">
        <v>8464474</v>
      </c>
      <c r="BA14">
        <v>8545109</v>
      </c>
      <c r="BB14">
        <v>7417363</v>
      </c>
      <c r="BC14">
        <v>8024457</v>
      </c>
      <c r="BD14">
        <v>8281724</v>
      </c>
      <c r="BE14">
        <v>8177891</v>
      </c>
      <c r="BF14">
        <v>8668834</v>
      </c>
      <c r="BG14">
        <v>6896949</v>
      </c>
      <c r="BH14">
        <v>7885500</v>
      </c>
      <c r="BI14">
        <v>8332481</v>
      </c>
      <c r="BJ14">
        <v>9349445</v>
      </c>
      <c r="BK14">
        <v>9815310</v>
      </c>
      <c r="BL14">
        <v>10471046</v>
      </c>
      <c r="BM14">
        <v>10430735</v>
      </c>
      <c r="BN14">
        <v>10847758</v>
      </c>
      <c r="BO14">
        <v>10298096</v>
      </c>
      <c r="BP14">
        <v>8884283</v>
      </c>
      <c r="BQ14">
        <v>8193321</v>
      </c>
      <c r="BR14">
        <v>9150284</v>
      </c>
      <c r="BS14">
        <v>9846955</v>
      </c>
      <c r="BT14">
        <v>10112040</v>
      </c>
      <c r="BU14">
        <v>9677257</v>
      </c>
      <c r="BV14">
        <v>10606810</v>
      </c>
      <c r="BW14">
        <v>11319600</v>
      </c>
      <c r="BX14">
        <v>11337310</v>
      </c>
      <c r="BY14">
        <v>11908538</v>
      </c>
      <c r="BZ14">
        <v>11265403</v>
      </c>
    </row>
    <row r="15" spans="1:78" x14ac:dyDescent="0.2">
      <c r="A15">
        <v>8</v>
      </c>
      <c r="B15" t="s">
        <v>17</v>
      </c>
      <c r="C15">
        <v>3742286</v>
      </c>
      <c r="D15">
        <v>3759413</v>
      </c>
      <c r="E15">
        <v>3946249</v>
      </c>
      <c r="F15">
        <v>4294301</v>
      </c>
      <c r="G15">
        <v>4519858</v>
      </c>
      <c r="H15">
        <v>4885181</v>
      </c>
      <c r="I15">
        <v>5091557</v>
      </c>
      <c r="J15">
        <v>5090968</v>
      </c>
      <c r="K15">
        <v>4662608</v>
      </c>
      <c r="L15">
        <v>4549537</v>
      </c>
      <c r="M15">
        <v>3745841</v>
      </c>
      <c r="N15">
        <v>2928147</v>
      </c>
      <c r="O15">
        <v>2675469</v>
      </c>
      <c r="P15">
        <v>3255552</v>
      </c>
      <c r="Q15">
        <v>3920909</v>
      </c>
      <c r="R15">
        <v>4097179</v>
      </c>
      <c r="S15">
        <v>4235279</v>
      </c>
      <c r="T15">
        <v>3729883</v>
      </c>
      <c r="U15">
        <v>4336654</v>
      </c>
      <c r="V15">
        <v>4620850</v>
      </c>
      <c r="W15">
        <v>4922315</v>
      </c>
      <c r="X15">
        <v>4944415</v>
      </c>
      <c r="Y15">
        <v>4061664</v>
      </c>
      <c r="Z15">
        <v>4320052</v>
      </c>
      <c r="AA15">
        <v>4741340</v>
      </c>
      <c r="AB15">
        <v>4449252</v>
      </c>
      <c r="AC15">
        <v>4813387</v>
      </c>
      <c r="AD15">
        <v>4983895</v>
      </c>
      <c r="AE15">
        <v>5242987</v>
      </c>
      <c r="AF15">
        <v>5167442</v>
      </c>
      <c r="AG15">
        <v>5706527</v>
      </c>
      <c r="AH15">
        <v>6054227</v>
      </c>
      <c r="AI15">
        <v>6133261</v>
      </c>
      <c r="AJ15">
        <v>6440552</v>
      </c>
      <c r="AK15">
        <v>6181309</v>
      </c>
      <c r="AL15">
        <v>6059586</v>
      </c>
      <c r="AM15">
        <v>6218863</v>
      </c>
      <c r="AN15">
        <v>6239591</v>
      </c>
      <c r="AO15">
        <v>5677143</v>
      </c>
      <c r="AP15">
        <v>5812337</v>
      </c>
      <c r="AQ15">
        <v>5851700</v>
      </c>
      <c r="AR15">
        <v>5820403</v>
      </c>
      <c r="AS15">
        <v>6177992</v>
      </c>
      <c r="AT15">
        <v>6185809</v>
      </c>
      <c r="AU15">
        <v>6634191</v>
      </c>
      <c r="AV15">
        <v>6947525</v>
      </c>
      <c r="AW15">
        <v>7405893</v>
      </c>
      <c r="AX15">
        <v>7683805</v>
      </c>
      <c r="AY15">
        <v>7290268</v>
      </c>
      <c r="AZ15">
        <v>7165370</v>
      </c>
      <c r="BA15">
        <v>7219440</v>
      </c>
      <c r="BB15">
        <v>6139070</v>
      </c>
      <c r="BC15">
        <v>6844667</v>
      </c>
      <c r="BD15">
        <v>7063305</v>
      </c>
      <c r="BE15">
        <v>6988512</v>
      </c>
      <c r="BF15">
        <v>7485964</v>
      </c>
      <c r="BG15">
        <v>5747988</v>
      </c>
      <c r="BH15">
        <v>6786005</v>
      </c>
      <c r="BI15">
        <v>7174977</v>
      </c>
      <c r="BJ15">
        <v>8193782</v>
      </c>
      <c r="BK15">
        <v>8667523</v>
      </c>
      <c r="BL15">
        <v>9273768</v>
      </c>
      <c r="BM15">
        <v>9213857</v>
      </c>
      <c r="BN15">
        <v>9664599</v>
      </c>
      <c r="BO15">
        <v>9095096</v>
      </c>
      <c r="BP15">
        <v>7663549</v>
      </c>
      <c r="BQ15">
        <v>7014789</v>
      </c>
      <c r="BR15">
        <v>7942730</v>
      </c>
      <c r="BS15">
        <v>8606063</v>
      </c>
      <c r="BT15">
        <v>8862182</v>
      </c>
      <c r="BU15">
        <v>8404091</v>
      </c>
      <c r="BV15">
        <v>9294895</v>
      </c>
      <c r="BW15">
        <v>9983388</v>
      </c>
      <c r="BX15">
        <v>9991866</v>
      </c>
      <c r="BY15">
        <v>10552763</v>
      </c>
      <c r="BZ15">
        <v>9922846</v>
      </c>
    </row>
    <row r="16" spans="1:78" x14ac:dyDescent="0.2">
      <c r="A16">
        <v>9</v>
      </c>
      <c r="B16" t="s">
        <v>18</v>
      </c>
      <c r="C16">
        <v>638511</v>
      </c>
      <c r="D16">
        <v>650822</v>
      </c>
      <c r="E16">
        <v>654828</v>
      </c>
      <c r="F16">
        <v>635591</v>
      </c>
      <c r="G16">
        <v>696273</v>
      </c>
      <c r="H16">
        <v>698321</v>
      </c>
      <c r="I16">
        <v>721365</v>
      </c>
      <c r="J16">
        <v>766955</v>
      </c>
      <c r="K16">
        <v>788845</v>
      </c>
      <c r="L16">
        <v>815932</v>
      </c>
      <c r="M16">
        <v>812635</v>
      </c>
      <c r="N16">
        <v>779064</v>
      </c>
      <c r="O16">
        <v>822471</v>
      </c>
      <c r="P16">
        <v>857904</v>
      </c>
      <c r="Q16">
        <v>873466</v>
      </c>
      <c r="R16">
        <v>848113</v>
      </c>
      <c r="S16">
        <v>823203</v>
      </c>
      <c r="T16">
        <v>811062</v>
      </c>
      <c r="U16">
        <v>826646</v>
      </c>
      <c r="V16">
        <v>865541</v>
      </c>
      <c r="W16">
        <v>888774</v>
      </c>
      <c r="X16">
        <v>911257</v>
      </c>
      <c r="Y16">
        <v>894275</v>
      </c>
      <c r="Z16">
        <v>894774</v>
      </c>
      <c r="AA16">
        <v>934655</v>
      </c>
      <c r="AB16">
        <v>964566</v>
      </c>
      <c r="AC16">
        <v>966240</v>
      </c>
      <c r="AD16">
        <v>985607</v>
      </c>
      <c r="AE16">
        <v>999839</v>
      </c>
      <c r="AF16">
        <v>1052806</v>
      </c>
      <c r="AG16">
        <v>1055081</v>
      </c>
      <c r="AH16">
        <v>1066461</v>
      </c>
      <c r="AI16">
        <v>1148683</v>
      </c>
      <c r="AJ16">
        <v>1149808</v>
      </c>
      <c r="AK16">
        <v>1167695</v>
      </c>
      <c r="AL16">
        <v>1182543</v>
      </c>
      <c r="AM16">
        <v>1232019</v>
      </c>
      <c r="AN16">
        <v>1251213</v>
      </c>
      <c r="AO16">
        <v>1222356</v>
      </c>
      <c r="AP16">
        <v>1244771</v>
      </c>
      <c r="AQ16">
        <v>1239526</v>
      </c>
      <c r="AR16">
        <v>1246107</v>
      </c>
      <c r="AS16">
        <v>1265355</v>
      </c>
      <c r="AT16">
        <v>1217382</v>
      </c>
      <c r="AU16">
        <v>1222483</v>
      </c>
      <c r="AV16">
        <v>1204009</v>
      </c>
      <c r="AW16">
        <v>1237424</v>
      </c>
      <c r="AX16">
        <v>1210135</v>
      </c>
      <c r="AY16">
        <v>1293274</v>
      </c>
      <c r="AZ16">
        <v>1299103</v>
      </c>
      <c r="BA16">
        <v>1325669</v>
      </c>
      <c r="BB16">
        <v>1278293</v>
      </c>
      <c r="BC16">
        <v>1179791</v>
      </c>
      <c r="BD16">
        <v>1218419</v>
      </c>
      <c r="BE16">
        <v>1189378</v>
      </c>
      <c r="BF16">
        <v>1182870</v>
      </c>
      <c r="BG16">
        <v>1148960</v>
      </c>
      <c r="BH16">
        <v>1099495</v>
      </c>
      <c r="BI16">
        <v>1157503</v>
      </c>
      <c r="BJ16">
        <v>1155663</v>
      </c>
      <c r="BK16">
        <v>1147787</v>
      </c>
      <c r="BL16">
        <v>1197279</v>
      </c>
      <c r="BM16">
        <v>1216878</v>
      </c>
      <c r="BN16">
        <v>1183159</v>
      </c>
      <c r="BO16">
        <v>1203000</v>
      </c>
      <c r="BP16">
        <v>1220734</v>
      </c>
      <c r="BQ16">
        <v>1178533</v>
      </c>
      <c r="BR16">
        <v>1207554</v>
      </c>
      <c r="BS16">
        <v>1240892</v>
      </c>
      <c r="BT16">
        <v>1249858</v>
      </c>
      <c r="BU16">
        <v>1273167</v>
      </c>
      <c r="BV16">
        <v>1311915</v>
      </c>
      <c r="BW16">
        <v>1336212</v>
      </c>
      <c r="BX16">
        <v>1345444</v>
      </c>
      <c r="BY16">
        <v>1355774</v>
      </c>
      <c r="BZ16">
        <v>1342556</v>
      </c>
    </row>
    <row r="17" spans="1:78" x14ac:dyDescent="0.2">
      <c r="A17">
        <v>10</v>
      </c>
      <c r="B17" t="s">
        <v>19</v>
      </c>
      <c r="C17">
        <v>5038569</v>
      </c>
      <c r="D17">
        <v>5121916</v>
      </c>
      <c r="E17">
        <v>5428603</v>
      </c>
      <c r="F17">
        <v>6017080</v>
      </c>
      <c r="G17">
        <v>6288275</v>
      </c>
      <c r="H17">
        <v>6852231</v>
      </c>
      <c r="I17">
        <v>7272284</v>
      </c>
      <c r="J17">
        <v>7262045</v>
      </c>
      <c r="K17">
        <v>6844546</v>
      </c>
      <c r="L17">
        <v>6669792</v>
      </c>
      <c r="M17">
        <v>5374215</v>
      </c>
      <c r="N17">
        <v>4320819</v>
      </c>
      <c r="O17">
        <v>4087167</v>
      </c>
      <c r="P17">
        <v>4984745</v>
      </c>
      <c r="Q17">
        <v>5879511</v>
      </c>
      <c r="R17">
        <v>6058554</v>
      </c>
      <c r="S17">
        <v>6286609</v>
      </c>
      <c r="T17">
        <v>5840898</v>
      </c>
      <c r="U17">
        <v>6724001</v>
      </c>
      <c r="V17">
        <v>7160366</v>
      </c>
      <c r="W17">
        <v>7497835</v>
      </c>
      <c r="X17">
        <v>7644691</v>
      </c>
      <c r="Y17">
        <v>6672316</v>
      </c>
      <c r="Z17">
        <v>6871732</v>
      </c>
      <c r="AA17">
        <v>7344418</v>
      </c>
      <c r="AB17">
        <v>7045455</v>
      </c>
      <c r="AC17">
        <v>7580663</v>
      </c>
      <c r="AD17">
        <v>7931527</v>
      </c>
      <c r="AE17">
        <v>8203589</v>
      </c>
      <c r="AF17">
        <v>8118282</v>
      </c>
      <c r="AG17">
        <v>8720092</v>
      </c>
      <c r="AH17">
        <v>9130080</v>
      </c>
      <c r="AI17">
        <v>9357199</v>
      </c>
      <c r="AJ17">
        <v>9984146</v>
      </c>
      <c r="AK17">
        <v>9693576</v>
      </c>
      <c r="AL17">
        <v>9627215</v>
      </c>
      <c r="AM17">
        <v>10032142</v>
      </c>
      <c r="AN17">
        <v>10137741</v>
      </c>
      <c r="AO17">
        <v>9273681</v>
      </c>
      <c r="AP17">
        <v>9439896</v>
      </c>
      <c r="AQ17">
        <v>9418001</v>
      </c>
      <c r="AR17">
        <v>9512540</v>
      </c>
      <c r="AS17">
        <v>9952714</v>
      </c>
      <c r="AT17">
        <v>9882284</v>
      </c>
      <c r="AU17">
        <v>10587995</v>
      </c>
      <c r="AV17">
        <v>11197846</v>
      </c>
      <c r="AW17">
        <v>11821708</v>
      </c>
      <c r="AX17">
        <v>12413733</v>
      </c>
      <c r="AY17">
        <v>12505047</v>
      </c>
      <c r="AZ17">
        <v>12213782</v>
      </c>
      <c r="BA17">
        <v>12403918</v>
      </c>
      <c r="BB17">
        <v>11322472</v>
      </c>
      <c r="BC17">
        <v>12080953</v>
      </c>
      <c r="BD17">
        <v>12430218</v>
      </c>
      <c r="BE17">
        <v>12323222</v>
      </c>
      <c r="BF17">
        <v>13124173</v>
      </c>
      <c r="BG17">
        <v>10821177</v>
      </c>
      <c r="BH17">
        <v>12182771</v>
      </c>
      <c r="BI17">
        <v>12831200</v>
      </c>
      <c r="BJ17">
        <v>14399252</v>
      </c>
      <c r="BK17">
        <v>15025918</v>
      </c>
      <c r="BL17">
        <v>15913801</v>
      </c>
      <c r="BM17">
        <v>16048447</v>
      </c>
      <c r="BN17">
        <v>16313926</v>
      </c>
      <c r="BO17">
        <v>15513944</v>
      </c>
      <c r="BP17">
        <v>13821086</v>
      </c>
      <c r="BQ17">
        <v>12901498</v>
      </c>
      <c r="BR17">
        <v>14024125</v>
      </c>
      <c r="BS17">
        <v>14617272</v>
      </c>
      <c r="BT17">
        <v>14806469</v>
      </c>
      <c r="BU17">
        <v>14423096</v>
      </c>
      <c r="BV17">
        <v>15334128</v>
      </c>
      <c r="BW17">
        <v>15997170</v>
      </c>
      <c r="BX17">
        <v>16088206</v>
      </c>
      <c r="BY17">
        <v>16607668</v>
      </c>
      <c r="BZ17">
        <v>15873091</v>
      </c>
    </row>
    <row r="18" spans="1:78" x14ac:dyDescent="0.2">
      <c r="A18">
        <v>11</v>
      </c>
      <c r="B18" t="s">
        <v>20</v>
      </c>
      <c r="C18">
        <v>3682411</v>
      </c>
      <c r="D18">
        <v>3673580</v>
      </c>
      <c r="E18">
        <v>3828619</v>
      </c>
      <c r="F18">
        <v>4328960</v>
      </c>
      <c r="G18">
        <v>4536363</v>
      </c>
      <c r="H18">
        <v>4958299</v>
      </c>
      <c r="I18">
        <v>5262469</v>
      </c>
      <c r="J18">
        <v>5247990</v>
      </c>
      <c r="K18">
        <v>4786880</v>
      </c>
      <c r="L18">
        <v>4701709</v>
      </c>
      <c r="M18">
        <v>3636110</v>
      </c>
      <c r="N18">
        <v>2748428</v>
      </c>
      <c r="O18">
        <v>2456973</v>
      </c>
      <c r="P18">
        <v>3162209</v>
      </c>
      <c r="Q18">
        <v>3836151</v>
      </c>
      <c r="R18">
        <v>3995295</v>
      </c>
      <c r="S18">
        <v>4135014</v>
      </c>
      <c r="T18">
        <v>3734612</v>
      </c>
      <c r="U18">
        <v>4475807</v>
      </c>
      <c r="V18">
        <v>4900246</v>
      </c>
      <c r="W18">
        <v>5159980</v>
      </c>
      <c r="X18">
        <v>5204875</v>
      </c>
      <c r="Y18">
        <v>4287221</v>
      </c>
      <c r="Z18">
        <v>4501438</v>
      </c>
      <c r="AA18">
        <v>5005403</v>
      </c>
      <c r="AB18">
        <v>4673015</v>
      </c>
      <c r="AC18">
        <v>5048350</v>
      </c>
      <c r="AD18">
        <v>5321857</v>
      </c>
      <c r="AE18">
        <v>5546349</v>
      </c>
      <c r="AF18">
        <v>5541381</v>
      </c>
      <c r="AG18">
        <v>6084914</v>
      </c>
      <c r="AH18">
        <v>6472877</v>
      </c>
      <c r="AI18">
        <v>6647696</v>
      </c>
      <c r="AJ18">
        <v>7101816</v>
      </c>
      <c r="AK18">
        <v>6828948</v>
      </c>
      <c r="AL18">
        <v>6770629</v>
      </c>
      <c r="AM18">
        <v>7174471</v>
      </c>
      <c r="AN18">
        <v>7311250</v>
      </c>
      <c r="AO18">
        <v>6545989</v>
      </c>
      <c r="AP18">
        <v>6756163</v>
      </c>
      <c r="AQ18">
        <v>6665318</v>
      </c>
      <c r="AR18">
        <v>6728339</v>
      </c>
      <c r="AS18">
        <v>7148103</v>
      </c>
      <c r="AT18">
        <v>7146320</v>
      </c>
      <c r="AU18">
        <v>7712310</v>
      </c>
      <c r="AV18">
        <v>8206770</v>
      </c>
      <c r="AW18">
        <v>8724834</v>
      </c>
      <c r="AX18">
        <v>9118138</v>
      </c>
      <c r="AY18">
        <v>9140032</v>
      </c>
      <c r="AZ18">
        <v>8845101</v>
      </c>
      <c r="BA18">
        <v>8980931</v>
      </c>
      <c r="BB18">
        <v>7899563</v>
      </c>
      <c r="BC18">
        <v>8687158</v>
      </c>
      <c r="BD18">
        <v>8894576</v>
      </c>
      <c r="BE18">
        <v>8722334</v>
      </c>
      <c r="BF18">
        <v>9478014</v>
      </c>
      <c r="BG18">
        <v>7442650</v>
      </c>
      <c r="BH18">
        <v>8574871</v>
      </c>
      <c r="BI18">
        <v>9142675</v>
      </c>
      <c r="BJ18">
        <v>10615016</v>
      </c>
      <c r="BK18">
        <v>11098240</v>
      </c>
      <c r="BL18">
        <v>11810521</v>
      </c>
      <c r="BM18">
        <v>11789406</v>
      </c>
      <c r="BN18">
        <v>12061294</v>
      </c>
      <c r="BO18">
        <v>11465265</v>
      </c>
      <c r="BP18">
        <v>9997741</v>
      </c>
      <c r="BQ18">
        <v>9192407</v>
      </c>
      <c r="BR18">
        <v>10279726</v>
      </c>
      <c r="BS18">
        <v>10786711</v>
      </c>
      <c r="BT18">
        <v>11023348</v>
      </c>
      <c r="BU18">
        <v>10705121</v>
      </c>
      <c r="BV18">
        <v>11482589</v>
      </c>
      <c r="BW18">
        <v>12111083</v>
      </c>
      <c r="BX18">
        <v>12154056</v>
      </c>
      <c r="BY18">
        <v>12731400</v>
      </c>
      <c r="BZ18">
        <v>12109284</v>
      </c>
    </row>
    <row r="19" spans="1:78" x14ac:dyDescent="0.2">
      <c r="A19">
        <v>12</v>
      </c>
      <c r="B19" t="s">
        <v>21</v>
      </c>
      <c r="C19">
        <v>1356158</v>
      </c>
      <c r="D19">
        <v>1448336</v>
      </c>
      <c r="E19">
        <v>1599984</v>
      </c>
      <c r="F19">
        <v>1688120</v>
      </c>
      <c r="G19">
        <v>1751912</v>
      </c>
      <c r="H19">
        <v>1893932</v>
      </c>
      <c r="I19">
        <v>2009815</v>
      </c>
      <c r="J19">
        <v>2014055</v>
      </c>
      <c r="K19">
        <v>2057666</v>
      </c>
      <c r="L19">
        <v>1968083</v>
      </c>
      <c r="M19">
        <v>1738105</v>
      </c>
      <c r="N19">
        <v>1572391</v>
      </c>
      <c r="O19">
        <v>1630194</v>
      </c>
      <c r="P19">
        <v>1822536</v>
      </c>
      <c r="Q19">
        <v>2043360</v>
      </c>
      <c r="R19">
        <v>2063259</v>
      </c>
      <c r="S19">
        <v>2151595</v>
      </c>
      <c r="T19">
        <v>2106286</v>
      </c>
      <c r="U19">
        <v>2248194</v>
      </c>
      <c r="V19">
        <v>2260120</v>
      </c>
      <c r="W19">
        <v>2337855</v>
      </c>
      <c r="X19">
        <v>2439816</v>
      </c>
      <c r="Y19">
        <v>2385095</v>
      </c>
      <c r="Z19">
        <v>2370294</v>
      </c>
      <c r="AA19">
        <v>2339015</v>
      </c>
      <c r="AB19">
        <v>2372440</v>
      </c>
      <c r="AC19">
        <v>2532313</v>
      </c>
      <c r="AD19">
        <v>2609670</v>
      </c>
      <c r="AE19">
        <v>2657240</v>
      </c>
      <c r="AF19">
        <v>2576901</v>
      </c>
      <c r="AG19">
        <v>2635178</v>
      </c>
      <c r="AH19">
        <v>2657203</v>
      </c>
      <c r="AI19">
        <v>2709503</v>
      </c>
      <c r="AJ19">
        <v>2882330</v>
      </c>
      <c r="AK19">
        <v>2864628</v>
      </c>
      <c r="AL19">
        <v>2856586</v>
      </c>
      <c r="AM19">
        <v>2857671</v>
      </c>
      <c r="AN19">
        <v>2826491</v>
      </c>
      <c r="AO19">
        <v>2727692</v>
      </c>
      <c r="AP19">
        <v>2683733</v>
      </c>
      <c r="AQ19">
        <v>2752683</v>
      </c>
      <c r="AR19">
        <v>2784201</v>
      </c>
      <c r="AS19">
        <v>2804611</v>
      </c>
      <c r="AT19">
        <v>2735964</v>
      </c>
      <c r="AU19">
        <v>2875685</v>
      </c>
      <c r="AV19">
        <v>2991076</v>
      </c>
      <c r="AW19">
        <v>3096874</v>
      </c>
      <c r="AX19">
        <v>3295595</v>
      </c>
      <c r="AY19">
        <v>3365015</v>
      </c>
      <c r="AZ19">
        <v>3368681</v>
      </c>
      <c r="BA19">
        <v>3422987</v>
      </c>
      <c r="BB19">
        <v>3422909</v>
      </c>
      <c r="BC19">
        <v>3393795</v>
      </c>
      <c r="BD19">
        <v>3535642</v>
      </c>
      <c r="BE19">
        <v>3600888</v>
      </c>
      <c r="BF19">
        <v>3646158</v>
      </c>
      <c r="BG19">
        <v>3378526</v>
      </c>
      <c r="BH19">
        <v>3607899</v>
      </c>
      <c r="BI19">
        <v>3688524</v>
      </c>
      <c r="BJ19">
        <v>3784236</v>
      </c>
      <c r="BK19">
        <v>3927678</v>
      </c>
      <c r="BL19">
        <v>4103280</v>
      </c>
      <c r="BM19">
        <v>4259041</v>
      </c>
      <c r="BN19">
        <v>4252632</v>
      </c>
      <c r="BO19">
        <v>4048679</v>
      </c>
      <c r="BP19">
        <v>3823345</v>
      </c>
      <c r="BQ19">
        <v>3709091</v>
      </c>
      <c r="BR19">
        <v>3744399</v>
      </c>
      <c r="BS19">
        <v>3830561</v>
      </c>
      <c r="BT19">
        <v>3783121</v>
      </c>
      <c r="BU19">
        <v>3717975</v>
      </c>
      <c r="BV19">
        <v>3851539</v>
      </c>
      <c r="BW19">
        <v>3886087</v>
      </c>
      <c r="BX19">
        <v>3934150</v>
      </c>
      <c r="BY19">
        <v>3876268</v>
      </c>
      <c r="BZ19">
        <v>3763807</v>
      </c>
    </row>
    <row r="20" spans="1:78" x14ac:dyDescent="0.2">
      <c r="A20">
        <v>13</v>
      </c>
      <c r="B20" t="s">
        <v>22</v>
      </c>
      <c r="C20">
        <v>301906</v>
      </c>
      <c r="D20">
        <v>333987</v>
      </c>
      <c r="E20">
        <v>385546</v>
      </c>
      <c r="F20">
        <v>388839</v>
      </c>
      <c r="G20">
        <v>361852</v>
      </c>
      <c r="H20">
        <v>428230</v>
      </c>
      <c r="I20">
        <v>436296</v>
      </c>
      <c r="J20">
        <v>383890</v>
      </c>
      <c r="K20">
        <v>397816</v>
      </c>
      <c r="L20">
        <v>394735</v>
      </c>
      <c r="M20">
        <v>373262</v>
      </c>
      <c r="N20">
        <v>314103</v>
      </c>
      <c r="O20">
        <v>348821</v>
      </c>
      <c r="P20">
        <v>377680</v>
      </c>
      <c r="Q20">
        <v>449982</v>
      </c>
      <c r="R20">
        <v>437491</v>
      </c>
      <c r="S20">
        <v>466078</v>
      </c>
      <c r="T20">
        <v>428039</v>
      </c>
      <c r="U20">
        <v>438787</v>
      </c>
      <c r="V20">
        <v>472810</v>
      </c>
      <c r="W20">
        <v>483857</v>
      </c>
      <c r="X20">
        <v>510237</v>
      </c>
      <c r="Y20">
        <v>429820</v>
      </c>
      <c r="Z20">
        <v>416631</v>
      </c>
      <c r="AA20">
        <v>343084</v>
      </c>
      <c r="AB20">
        <v>369466</v>
      </c>
      <c r="AC20">
        <v>400130</v>
      </c>
      <c r="AD20">
        <v>362475</v>
      </c>
      <c r="AE20">
        <v>378354</v>
      </c>
      <c r="AF20">
        <v>388486</v>
      </c>
      <c r="AG20">
        <v>409921</v>
      </c>
      <c r="AH20">
        <v>373659</v>
      </c>
      <c r="AI20">
        <v>354950</v>
      </c>
      <c r="AJ20">
        <v>395621</v>
      </c>
      <c r="AK20">
        <v>402469</v>
      </c>
      <c r="AL20">
        <v>370146</v>
      </c>
      <c r="AM20">
        <v>381042</v>
      </c>
      <c r="AN20">
        <v>393612</v>
      </c>
      <c r="AO20">
        <v>380781</v>
      </c>
      <c r="AP20">
        <v>357756</v>
      </c>
      <c r="AQ20">
        <v>394100</v>
      </c>
      <c r="AR20">
        <v>366093</v>
      </c>
      <c r="AS20">
        <v>332834</v>
      </c>
      <c r="AT20">
        <v>322009</v>
      </c>
      <c r="AU20">
        <v>356019</v>
      </c>
      <c r="AV20">
        <v>391111</v>
      </c>
      <c r="AW20">
        <v>426418</v>
      </c>
      <c r="AX20">
        <v>482376</v>
      </c>
      <c r="AY20">
        <v>514231</v>
      </c>
      <c r="AZ20">
        <v>529581</v>
      </c>
      <c r="BA20">
        <v>558645</v>
      </c>
      <c r="BB20">
        <v>540491</v>
      </c>
      <c r="BC20">
        <v>467601</v>
      </c>
      <c r="BD20">
        <v>481668</v>
      </c>
      <c r="BE20">
        <v>484541</v>
      </c>
      <c r="BF20">
        <v>522975</v>
      </c>
      <c r="BG20">
        <v>449699</v>
      </c>
      <c r="BH20">
        <v>463455</v>
      </c>
      <c r="BI20">
        <v>470540</v>
      </c>
      <c r="BJ20">
        <v>425480</v>
      </c>
      <c r="BK20">
        <v>547102</v>
      </c>
      <c r="BL20">
        <v>606240</v>
      </c>
      <c r="BM20">
        <v>609406</v>
      </c>
      <c r="BN20">
        <v>573608</v>
      </c>
      <c r="BO20">
        <v>501303</v>
      </c>
      <c r="BP20">
        <v>461214</v>
      </c>
      <c r="BQ20">
        <v>483270</v>
      </c>
      <c r="BR20">
        <v>475610</v>
      </c>
      <c r="BS20">
        <v>475029</v>
      </c>
      <c r="BT20">
        <v>454718</v>
      </c>
      <c r="BU20">
        <v>468569</v>
      </c>
      <c r="BV20">
        <v>449571</v>
      </c>
      <c r="BW20">
        <v>413479</v>
      </c>
      <c r="BX20">
        <v>429111</v>
      </c>
      <c r="BY20">
        <v>450352</v>
      </c>
      <c r="BZ20">
        <v>412337</v>
      </c>
    </row>
    <row r="21" spans="1:78" x14ac:dyDescent="0.2">
      <c r="A21">
        <v>14</v>
      </c>
      <c r="B21" t="s">
        <v>23</v>
      </c>
      <c r="C21">
        <v>1054251</v>
      </c>
      <c r="D21">
        <v>1114349</v>
      </c>
      <c r="E21">
        <v>1214438</v>
      </c>
      <c r="F21">
        <v>1299281</v>
      </c>
      <c r="G21">
        <v>1390060</v>
      </c>
      <c r="H21">
        <v>1465702</v>
      </c>
      <c r="I21">
        <v>1573519</v>
      </c>
      <c r="J21">
        <v>1630165</v>
      </c>
      <c r="K21">
        <v>1659850</v>
      </c>
      <c r="L21">
        <v>1573348</v>
      </c>
      <c r="M21">
        <v>1364843</v>
      </c>
      <c r="N21">
        <v>1258288</v>
      </c>
      <c r="O21">
        <v>1281373</v>
      </c>
      <c r="P21">
        <v>1444856</v>
      </c>
      <c r="Q21">
        <v>1593378</v>
      </c>
      <c r="R21">
        <v>1625768</v>
      </c>
      <c r="S21">
        <v>1685518</v>
      </c>
      <c r="T21">
        <v>1678247</v>
      </c>
      <c r="U21">
        <v>1809406</v>
      </c>
      <c r="V21">
        <v>1787310</v>
      </c>
      <c r="W21">
        <v>1853998</v>
      </c>
      <c r="X21">
        <v>1929578</v>
      </c>
      <c r="Y21">
        <v>1955276</v>
      </c>
      <c r="Z21">
        <v>1953663</v>
      </c>
      <c r="AA21">
        <v>1995931</v>
      </c>
      <c r="AB21">
        <v>2002974</v>
      </c>
      <c r="AC21">
        <v>2132183</v>
      </c>
      <c r="AD21">
        <v>2247195</v>
      </c>
      <c r="AE21">
        <v>2278886</v>
      </c>
      <c r="AF21">
        <v>2188415</v>
      </c>
      <c r="AG21">
        <v>2225257</v>
      </c>
      <c r="AH21">
        <v>2283544</v>
      </c>
      <c r="AI21">
        <v>2354553</v>
      </c>
      <c r="AJ21">
        <v>2486709</v>
      </c>
      <c r="AK21">
        <v>2462159</v>
      </c>
      <c r="AL21">
        <v>2486440</v>
      </c>
      <c r="AM21">
        <v>2476629</v>
      </c>
      <c r="AN21">
        <v>2432879</v>
      </c>
      <c r="AO21">
        <v>2346911</v>
      </c>
      <c r="AP21">
        <v>2325977</v>
      </c>
      <c r="AQ21">
        <v>2358583</v>
      </c>
      <c r="AR21">
        <v>2418108</v>
      </c>
      <c r="AS21">
        <v>2471777</v>
      </c>
      <c r="AT21">
        <v>2413955</v>
      </c>
      <c r="AU21">
        <v>2519666</v>
      </c>
      <c r="AV21">
        <v>2599965</v>
      </c>
      <c r="AW21">
        <v>2670456</v>
      </c>
      <c r="AX21">
        <v>2813220</v>
      </c>
      <c r="AY21">
        <v>2850784</v>
      </c>
      <c r="AZ21">
        <v>2839101</v>
      </c>
      <c r="BA21">
        <v>2864342</v>
      </c>
      <c r="BB21">
        <v>2882418</v>
      </c>
      <c r="BC21">
        <v>2926194</v>
      </c>
      <c r="BD21">
        <v>3053974</v>
      </c>
      <c r="BE21">
        <v>3116347</v>
      </c>
      <c r="BF21">
        <v>3123183</v>
      </c>
      <c r="BG21">
        <v>2928828</v>
      </c>
      <c r="BH21">
        <v>3144445</v>
      </c>
      <c r="BI21">
        <v>3217984</v>
      </c>
      <c r="BJ21">
        <v>3358756</v>
      </c>
      <c r="BK21">
        <v>3380576</v>
      </c>
      <c r="BL21">
        <v>3497040</v>
      </c>
      <c r="BM21">
        <v>3649635</v>
      </c>
      <c r="BN21">
        <v>3679024</v>
      </c>
      <c r="BO21">
        <v>3547376</v>
      </c>
      <c r="BP21">
        <v>3362131</v>
      </c>
      <c r="BQ21">
        <v>3225821</v>
      </c>
      <c r="BR21">
        <v>3268789</v>
      </c>
      <c r="BS21">
        <v>3355532</v>
      </c>
      <c r="BT21">
        <v>3328403</v>
      </c>
      <c r="BU21">
        <v>3249406</v>
      </c>
      <c r="BV21">
        <v>3401968</v>
      </c>
      <c r="BW21">
        <v>3472608</v>
      </c>
      <c r="BX21">
        <v>3505039</v>
      </c>
      <c r="BY21">
        <v>3425916</v>
      </c>
      <c r="BZ21">
        <v>3351470</v>
      </c>
    </row>
    <row r="22" spans="1:78" x14ac:dyDescent="0.2">
      <c r="A22">
        <v>15</v>
      </c>
      <c r="B22" t="s">
        <v>24</v>
      </c>
      <c r="C22">
        <v>1189856</v>
      </c>
      <c r="D22">
        <v>1296050</v>
      </c>
      <c r="E22">
        <v>1194164</v>
      </c>
      <c r="F22">
        <v>1238995</v>
      </c>
      <c r="G22">
        <v>1255575</v>
      </c>
      <c r="H22">
        <v>1546712</v>
      </c>
      <c r="I22">
        <v>1720605</v>
      </c>
      <c r="J22">
        <v>2559332</v>
      </c>
      <c r="K22">
        <v>4186275</v>
      </c>
      <c r="L22">
        <v>3638417</v>
      </c>
      <c r="M22">
        <v>3241052</v>
      </c>
      <c r="N22">
        <v>6127450</v>
      </c>
      <c r="O22">
        <v>5561851</v>
      </c>
      <c r="P22">
        <v>4054450</v>
      </c>
      <c r="Q22">
        <v>4131036</v>
      </c>
      <c r="R22">
        <v>3489779</v>
      </c>
      <c r="S22">
        <v>3429046</v>
      </c>
      <c r="T22">
        <v>4310312</v>
      </c>
      <c r="U22">
        <v>4783698</v>
      </c>
      <c r="V22">
        <v>3652313</v>
      </c>
      <c r="W22">
        <v>3194303</v>
      </c>
      <c r="X22">
        <v>3473224</v>
      </c>
      <c r="Y22">
        <v>5213598</v>
      </c>
      <c r="Z22">
        <v>4716578</v>
      </c>
      <c r="AA22">
        <v>3950239</v>
      </c>
      <c r="AB22">
        <v>4155820</v>
      </c>
      <c r="AC22">
        <v>3925606</v>
      </c>
      <c r="AD22">
        <v>3619761</v>
      </c>
      <c r="AE22">
        <v>3248377</v>
      </c>
      <c r="AF22">
        <v>2825067</v>
      </c>
      <c r="AG22">
        <v>2761416</v>
      </c>
      <c r="AH22">
        <v>3017100</v>
      </c>
      <c r="AI22">
        <v>2652910</v>
      </c>
      <c r="AJ22">
        <v>2696279</v>
      </c>
      <c r="AK22">
        <v>2786822</v>
      </c>
      <c r="AL22">
        <v>3252308</v>
      </c>
      <c r="AM22">
        <v>3409198</v>
      </c>
      <c r="AN22">
        <v>2492288</v>
      </c>
      <c r="AO22">
        <v>2768075</v>
      </c>
      <c r="AP22">
        <v>2443371</v>
      </c>
      <c r="AQ22">
        <v>3057027</v>
      </c>
      <c r="AR22">
        <v>3312870</v>
      </c>
      <c r="AS22">
        <v>2786084</v>
      </c>
      <c r="AT22">
        <v>2220453</v>
      </c>
      <c r="AU22">
        <v>1954447</v>
      </c>
      <c r="AV22">
        <v>1931341</v>
      </c>
      <c r="AW22">
        <v>1705114</v>
      </c>
      <c r="AX22">
        <v>1560816</v>
      </c>
      <c r="AY22">
        <v>1522631</v>
      </c>
      <c r="AZ22">
        <v>1525923</v>
      </c>
      <c r="BA22">
        <v>1447261</v>
      </c>
      <c r="BB22">
        <v>1449590</v>
      </c>
      <c r="BC22">
        <v>1500077</v>
      </c>
      <c r="BD22">
        <v>1772165</v>
      </c>
      <c r="BE22">
        <v>2078260</v>
      </c>
      <c r="BF22">
        <v>1790402</v>
      </c>
      <c r="BG22">
        <v>2999008</v>
      </c>
      <c r="BH22">
        <v>2750789</v>
      </c>
      <c r="BI22">
        <v>2545162</v>
      </c>
      <c r="BJ22">
        <v>2545955</v>
      </c>
      <c r="BK22">
        <v>2158913</v>
      </c>
      <c r="BL22">
        <v>2100803</v>
      </c>
      <c r="BM22">
        <v>2041185</v>
      </c>
      <c r="BN22">
        <v>1982966</v>
      </c>
      <c r="BO22">
        <v>2254847</v>
      </c>
      <c r="BP22">
        <v>2405663</v>
      </c>
      <c r="BQ22">
        <v>2826939</v>
      </c>
      <c r="BR22">
        <v>2543343</v>
      </c>
      <c r="BS22">
        <v>2193123</v>
      </c>
      <c r="BT22">
        <v>2482845</v>
      </c>
      <c r="BU22">
        <v>2583540</v>
      </c>
      <c r="BV22">
        <v>2202801</v>
      </c>
      <c r="BW22">
        <v>2168999</v>
      </c>
      <c r="BX22">
        <v>2281764</v>
      </c>
      <c r="BY22">
        <v>2538697</v>
      </c>
      <c r="BZ22">
        <v>2316167</v>
      </c>
    </row>
    <row r="23" spans="1:78" x14ac:dyDescent="0.2">
      <c r="A23">
        <v>16</v>
      </c>
      <c r="B23" t="s">
        <v>25</v>
      </c>
      <c r="C23">
        <v>1168623</v>
      </c>
      <c r="D23">
        <v>1270737</v>
      </c>
      <c r="E23">
        <v>1173055</v>
      </c>
      <c r="F23">
        <v>1213354</v>
      </c>
      <c r="G23">
        <v>1232097</v>
      </c>
      <c r="H23">
        <v>1516672</v>
      </c>
      <c r="I23">
        <v>1687484</v>
      </c>
      <c r="J23">
        <v>2526075</v>
      </c>
      <c r="K23">
        <v>4142982</v>
      </c>
      <c r="L23">
        <v>3575564</v>
      </c>
      <c r="M23">
        <v>3190484</v>
      </c>
      <c r="N23">
        <v>6065174</v>
      </c>
      <c r="O23">
        <v>5525465</v>
      </c>
      <c r="P23">
        <v>4021819</v>
      </c>
      <c r="Q23">
        <v>4098904</v>
      </c>
      <c r="R23">
        <v>3460696</v>
      </c>
      <c r="S23">
        <v>3386131</v>
      </c>
      <c r="T23">
        <v>4279105</v>
      </c>
      <c r="U23">
        <v>4754629</v>
      </c>
      <c r="V23">
        <v>3621801</v>
      </c>
      <c r="W23">
        <v>3160764</v>
      </c>
      <c r="X23">
        <v>3442377</v>
      </c>
      <c r="Y23">
        <v>5150885</v>
      </c>
      <c r="Z23">
        <v>4668527</v>
      </c>
      <c r="AA23">
        <v>3903938</v>
      </c>
      <c r="AB23">
        <v>4108439</v>
      </c>
      <c r="AC23">
        <v>3883568</v>
      </c>
      <c r="AD23">
        <v>3585781</v>
      </c>
      <c r="AE23">
        <v>3212569</v>
      </c>
      <c r="AF23">
        <v>2778730</v>
      </c>
      <c r="AG23">
        <v>2718224</v>
      </c>
      <c r="AH23">
        <v>2980312</v>
      </c>
      <c r="AI23">
        <v>2617079</v>
      </c>
      <c r="AJ23">
        <v>2661860</v>
      </c>
      <c r="AK23">
        <v>2743095</v>
      </c>
      <c r="AL23">
        <v>3182186</v>
      </c>
      <c r="AM23">
        <v>3340966</v>
      </c>
      <c r="AN23">
        <v>2439043</v>
      </c>
      <c r="AO23">
        <v>2710710</v>
      </c>
      <c r="AP23">
        <v>2399803</v>
      </c>
      <c r="AQ23">
        <v>3010497</v>
      </c>
      <c r="AR23">
        <v>3252270</v>
      </c>
      <c r="AS23">
        <v>2743002</v>
      </c>
      <c r="AT23">
        <v>2183788</v>
      </c>
      <c r="AU23">
        <v>1918898</v>
      </c>
      <c r="AV23">
        <v>1893755</v>
      </c>
      <c r="AW23">
        <v>1663062</v>
      </c>
      <c r="AX23">
        <v>1496942</v>
      </c>
      <c r="AY23">
        <v>1470592</v>
      </c>
      <c r="AZ23">
        <v>1461729</v>
      </c>
      <c r="BA23">
        <v>1383929</v>
      </c>
      <c r="BB23">
        <v>1408899</v>
      </c>
      <c r="BC23">
        <v>1469087</v>
      </c>
      <c r="BD23">
        <v>1733512</v>
      </c>
      <c r="BE23">
        <v>2038002</v>
      </c>
      <c r="BF23">
        <v>1755306</v>
      </c>
      <c r="BG23">
        <v>2911227</v>
      </c>
      <c r="BH23">
        <v>2699878</v>
      </c>
      <c r="BI23">
        <v>2493581</v>
      </c>
      <c r="BJ23">
        <v>2491598</v>
      </c>
      <c r="BK23">
        <v>2098548</v>
      </c>
      <c r="BL23">
        <v>2038081</v>
      </c>
      <c r="BM23">
        <v>1964696</v>
      </c>
      <c r="BN23">
        <v>1922536</v>
      </c>
      <c r="BO23">
        <v>2152969</v>
      </c>
      <c r="BP23">
        <v>2301729</v>
      </c>
      <c r="BQ23">
        <v>2714158</v>
      </c>
      <c r="BR23">
        <v>2465671</v>
      </c>
      <c r="BS23">
        <v>2127873</v>
      </c>
      <c r="BT23">
        <v>2417996</v>
      </c>
      <c r="BU23">
        <v>2520374</v>
      </c>
      <c r="BV23">
        <v>2137597</v>
      </c>
      <c r="BW23">
        <v>2107314</v>
      </c>
      <c r="BX23">
        <v>2223008</v>
      </c>
      <c r="BY23">
        <v>2467168</v>
      </c>
      <c r="BZ23">
        <v>2243955</v>
      </c>
    </row>
    <row r="24" spans="1:78" x14ac:dyDescent="0.2">
      <c r="A24">
        <v>17</v>
      </c>
      <c r="B24" t="s">
        <v>26</v>
      </c>
      <c r="C24">
        <v>839046</v>
      </c>
      <c r="D24">
        <v>902011</v>
      </c>
      <c r="E24">
        <v>803357</v>
      </c>
      <c r="F24">
        <v>793057</v>
      </c>
      <c r="G24">
        <v>798480</v>
      </c>
      <c r="H24">
        <v>1004345</v>
      </c>
      <c r="I24">
        <v>936941</v>
      </c>
      <c r="J24">
        <v>1463086</v>
      </c>
      <c r="K24">
        <v>2363064</v>
      </c>
      <c r="L24">
        <v>1825236</v>
      </c>
      <c r="M24">
        <v>1655033</v>
      </c>
      <c r="N24">
        <v>4053356</v>
      </c>
      <c r="O24">
        <v>3722984</v>
      </c>
      <c r="P24">
        <v>2779770</v>
      </c>
      <c r="Q24">
        <v>3052513</v>
      </c>
      <c r="R24">
        <v>2596825</v>
      </c>
      <c r="S24">
        <v>2613592</v>
      </c>
      <c r="T24">
        <v>3437872</v>
      </c>
      <c r="U24">
        <v>3915177</v>
      </c>
      <c r="V24">
        <v>2844526</v>
      </c>
      <c r="W24">
        <v>2412085</v>
      </c>
      <c r="X24">
        <v>2697781</v>
      </c>
      <c r="Y24">
        <v>4151873</v>
      </c>
      <c r="Z24">
        <v>3861581</v>
      </c>
      <c r="AA24">
        <v>3207155</v>
      </c>
      <c r="AB24">
        <v>3420939</v>
      </c>
      <c r="AC24">
        <v>3252272</v>
      </c>
      <c r="AD24">
        <v>2973245</v>
      </c>
      <c r="AE24">
        <v>2616516</v>
      </c>
      <c r="AF24">
        <v>2205507</v>
      </c>
      <c r="AG24">
        <v>2171063</v>
      </c>
      <c r="AH24">
        <v>2388410</v>
      </c>
      <c r="AI24">
        <v>2072249</v>
      </c>
      <c r="AJ24">
        <v>2188147</v>
      </c>
      <c r="AK24">
        <v>2101592</v>
      </c>
      <c r="AL24">
        <v>2485718</v>
      </c>
      <c r="AM24">
        <v>2619713</v>
      </c>
      <c r="AN24">
        <v>1881166</v>
      </c>
      <c r="AO24">
        <v>2130450</v>
      </c>
      <c r="AP24">
        <v>1852730</v>
      </c>
      <c r="AQ24">
        <v>2441806</v>
      </c>
      <c r="AR24">
        <v>2651999</v>
      </c>
      <c r="AS24">
        <v>2290728</v>
      </c>
      <c r="AT24">
        <v>1635782</v>
      </c>
      <c r="AU24">
        <v>1485350</v>
      </c>
      <c r="AV24">
        <v>1428250</v>
      </c>
      <c r="AW24">
        <v>1201796</v>
      </c>
      <c r="AX24">
        <v>1063254</v>
      </c>
      <c r="AY24">
        <v>1030700</v>
      </c>
      <c r="AZ24">
        <v>967371</v>
      </c>
      <c r="BA24">
        <v>906830</v>
      </c>
      <c r="BB24">
        <v>928848</v>
      </c>
      <c r="BC24">
        <v>1027014</v>
      </c>
      <c r="BD24">
        <v>1291881</v>
      </c>
      <c r="BE24">
        <v>1561674</v>
      </c>
      <c r="BF24">
        <v>1297504</v>
      </c>
      <c r="BG24">
        <v>2130891</v>
      </c>
      <c r="BH24">
        <v>2195135</v>
      </c>
      <c r="BI24">
        <v>1995817</v>
      </c>
      <c r="BJ24">
        <v>1914174</v>
      </c>
      <c r="BK24">
        <v>1524872</v>
      </c>
      <c r="BL24">
        <v>1500925</v>
      </c>
      <c r="BM24">
        <v>1400200</v>
      </c>
      <c r="BN24">
        <v>1351339</v>
      </c>
      <c r="BO24">
        <v>1452682</v>
      </c>
      <c r="BP24">
        <v>1578561</v>
      </c>
      <c r="BQ24">
        <v>1855227</v>
      </c>
      <c r="BR24">
        <v>1860780</v>
      </c>
      <c r="BS24">
        <v>1637702</v>
      </c>
      <c r="BT24">
        <v>1873035</v>
      </c>
      <c r="BU24">
        <v>1950659</v>
      </c>
      <c r="BV24">
        <v>1591899</v>
      </c>
      <c r="BW24">
        <v>1599278</v>
      </c>
      <c r="BX24">
        <v>1727540</v>
      </c>
      <c r="BY24">
        <v>1906964</v>
      </c>
      <c r="BZ24">
        <v>1532498</v>
      </c>
    </row>
    <row r="25" spans="1:78" x14ac:dyDescent="0.2">
      <c r="A25">
        <v>18</v>
      </c>
      <c r="B25" t="s">
        <v>27</v>
      </c>
      <c r="C25">
        <v>139673</v>
      </c>
      <c r="D25">
        <v>159565</v>
      </c>
      <c r="E25">
        <v>148117</v>
      </c>
      <c r="F25">
        <v>176267</v>
      </c>
      <c r="G25">
        <v>169301</v>
      </c>
      <c r="H25">
        <v>196449</v>
      </c>
      <c r="I25">
        <v>279826</v>
      </c>
      <c r="J25">
        <v>290943</v>
      </c>
      <c r="K25">
        <v>436499</v>
      </c>
      <c r="L25">
        <v>349048</v>
      </c>
      <c r="M25">
        <v>356026</v>
      </c>
      <c r="N25">
        <v>497234</v>
      </c>
      <c r="O25">
        <v>328970</v>
      </c>
      <c r="P25">
        <v>298959</v>
      </c>
      <c r="Q25">
        <v>331814</v>
      </c>
      <c r="R25">
        <v>277387</v>
      </c>
      <c r="S25">
        <v>253008</v>
      </c>
      <c r="T25">
        <v>298553</v>
      </c>
      <c r="U25">
        <v>358225</v>
      </c>
      <c r="V25">
        <v>330298</v>
      </c>
      <c r="W25">
        <v>319793</v>
      </c>
      <c r="X25">
        <v>322563</v>
      </c>
      <c r="Y25">
        <v>428956</v>
      </c>
      <c r="Z25">
        <v>323413</v>
      </c>
      <c r="AA25">
        <v>281791</v>
      </c>
      <c r="AB25">
        <v>270609</v>
      </c>
      <c r="AC25">
        <v>264810</v>
      </c>
      <c r="AD25">
        <v>280217</v>
      </c>
      <c r="AE25">
        <v>276419</v>
      </c>
      <c r="AF25">
        <v>268643</v>
      </c>
      <c r="AG25">
        <v>258064</v>
      </c>
      <c r="AH25">
        <v>307972</v>
      </c>
      <c r="AI25">
        <v>271878</v>
      </c>
      <c r="AJ25">
        <v>221292</v>
      </c>
      <c r="AK25">
        <v>403294</v>
      </c>
      <c r="AL25">
        <v>419019</v>
      </c>
      <c r="AM25">
        <v>473159</v>
      </c>
      <c r="AN25">
        <v>350913</v>
      </c>
      <c r="AO25">
        <v>366623</v>
      </c>
      <c r="AP25">
        <v>346231</v>
      </c>
      <c r="AQ25">
        <v>381189</v>
      </c>
      <c r="AR25">
        <v>424138</v>
      </c>
      <c r="AS25">
        <v>283852</v>
      </c>
      <c r="AT25">
        <v>387942</v>
      </c>
      <c r="AU25">
        <v>272056</v>
      </c>
      <c r="AV25">
        <v>297283</v>
      </c>
      <c r="AW25">
        <v>281092</v>
      </c>
      <c r="AX25">
        <v>264381</v>
      </c>
      <c r="AY25">
        <v>260655</v>
      </c>
      <c r="AZ25">
        <v>334271</v>
      </c>
      <c r="BA25">
        <v>301474</v>
      </c>
      <c r="BB25">
        <v>303617</v>
      </c>
      <c r="BC25">
        <v>284412</v>
      </c>
      <c r="BD25">
        <v>281039</v>
      </c>
      <c r="BE25">
        <v>313542</v>
      </c>
      <c r="BF25">
        <v>288123</v>
      </c>
      <c r="BG25">
        <v>482045</v>
      </c>
      <c r="BH25">
        <v>315613</v>
      </c>
      <c r="BI25">
        <v>294712</v>
      </c>
      <c r="BJ25">
        <v>372163</v>
      </c>
      <c r="BK25">
        <v>357890</v>
      </c>
      <c r="BL25">
        <v>298175</v>
      </c>
      <c r="BM25">
        <v>306174</v>
      </c>
      <c r="BN25">
        <v>311282</v>
      </c>
      <c r="BO25">
        <v>394055</v>
      </c>
      <c r="BP25">
        <v>457549</v>
      </c>
      <c r="BQ25">
        <v>615471</v>
      </c>
      <c r="BR25">
        <v>432359</v>
      </c>
      <c r="BS25">
        <v>321039</v>
      </c>
      <c r="BT25">
        <v>374390</v>
      </c>
      <c r="BU25">
        <v>408465</v>
      </c>
      <c r="BV25">
        <v>370711</v>
      </c>
      <c r="BW25">
        <v>315667</v>
      </c>
      <c r="BX25">
        <v>328091</v>
      </c>
      <c r="BY25">
        <v>353731</v>
      </c>
      <c r="BZ25">
        <v>535485</v>
      </c>
    </row>
    <row r="26" spans="1:78" x14ac:dyDescent="0.2">
      <c r="A26">
        <v>19</v>
      </c>
      <c r="B26" t="s">
        <v>28</v>
      </c>
      <c r="C26">
        <v>189904</v>
      </c>
      <c r="D26">
        <v>209161</v>
      </c>
      <c r="E26">
        <v>221581</v>
      </c>
      <c r="F26">
        <v>244030</v>
      </c>
      <c r="G26">
        <v>264316</v>
      </c>
      <c r="H26">
        <v>315878</v>
      </c>
      <c r="I26">
        <v>470717</v>
      </c>
      <c r="J26">
        <v>772046</v>
      </c>
      <c r="K26">
        <v>1343419</v>
      </c>
      <c r="L26">
        <v>1401280</v>
      </c>
      <c r="M26">
        <v>1179425</v>
      </c>
      <c r="N26">
        <v>1514584</v>
      </c>
      <c r="O26">
        <v>1473511</v>
      </c>
      <c r="P26">
        <v>943090</v>
      </c>
      <c r="Q26">
        <v>714577</v>
      </c>
      <c r="R26">
        <v>586484</v>
      </c>
      <c r="S26">
        <v>519531</v>
      </c>
      <c r="T26">
        <v>542680</v>
      </c>
      <c r="U26">
        <v>481227</v>
      </c>
      <c r="V26">
        <v>446977</v>
      </c>
      <c r="W26">
        <v>428886</v>
      </c>
      <c r="X26">
        <v>422033</v>
      </c>
      <c r="Y26">
        <v>570056</v>
      </c>
      <c r="Z26">
        <v>483533</v>
      </c>
      <c r="AA26">
        <v>414992</v>
      </c>
      <c r="AB26">
        <v>416891</v>
      </c>
      <c r="AC26">
        <v>366486</v>
      </c>
      <c r="AD26">
        <v>332319</v>
      </c>
      <c r="AE26">
        <v>319634</v>
      </c>
      <c r="AF26">
        <v>304580</v>
      </c>
      <c r="AG26">
        <v>289097</v>
      </c>
      <c r="AH26">
        <v>283930</v>
      </c>
      <c r="AI26">
        <v>272952</v>
      </c>
      <c r="AJ26">
        <v>252421</v>
      </c>
      <c r="AK26">
        <v>238209</v>
      </c>
      <c r="AL26">
        <v>277449</v>
      </c>
      <c r="AM26">
        <v>248094</v>
      </c>
      <c r="AN26">
        <v>206964</v>
      </c>
      <c r="AO26">
        <v>213637</v>
      </c>
      <c r="AP26">
        <v>200842</v>
      </c>
      <c r="AQ26">
        <v>187502</v>
      </c>
      <c r="AR26">
        <v>176133</v>
      </c>
      <c r="AS26">
        <v>168422</v>
      </c>
      <c r="AT26">
        <v>160064</v>
      </c>
      <c r="AU26">
        <v>161492</v>
      </c>
      <c r="AV26">
        <v>168222</v>
      </c>
      <c r="AW26">
        <v>180174</v>
      </c>
      <c r="AX26">
        <v>169307</v>
      </c>
      <c r="AY26">
        <v>179237</v>
      </c>
      <c r="AZ26">
        <v>160087</v>
      </c>
      <c r="BA26">
        <v>175625</v>
      </c>
      <c r="BB26">
        <v>176434</v>
      </c>
      <c r="BC26">
        <v>157661</v>
      </c>
      <c r="BD26">
        <v>160592</v>
      </c>
      <c r="BE26">
        <v>162786</v>
      </c>
      <c r="BF26">
        <v>169679</v>
      </c>
      <c r="BG26">
        <v>298291</v>
      </c>
      <c r="BH26">
        <v>189130</v>
      </c>
      <c r="BI26">
        <v>203052</v>
      </c>
      <c r="BJ26">
        <v>205261</v>
      </c>
      <c r="BK26">
        <v>215786</v>
      </c>
      <c r="BL26">
        <v>238981</v>
      </c>
      <c r="BM26">
        <v>258322</v>
      </c>
      <c r="BN26">
        <v>259915</v>
      </c>
      <c r="BO26">
        <v>306232</v>
      </c>
      <c r="BP26">
        <v>265619</v>
      </c>
      <c r="BQ26">
        <v>243460</v>
      </c>
      <c r="BR26">
        <v>172532</v>
      </c>
      <c r="BS26">
        <v>169132</v>
      </c>
      <c r="BT26">
        <v>170571</v>
      </c>
      <c r="BU26">
        <v>161250</v>
      </c>
      <c r="BV26">
        <v>174987</v>
      </c>
      <c r="BW26">
        <v>192369</v>
      </c>
      <c r="BX26">
        <v>167377</v>
      </c>
      <c r="BY26">
        <v>206473</v>
      </c>
      <c r="BZ26">
        <v>175972</v>
      </c>
    </row>
    <row r="27" spans="1:78" x14ac:dyDescent="0.2">
      <c r="A27">
        <v>20</v>
      </c>
      <c r="B27" t="s">
        <v>29</v>
      </c>
      <c r="C27">
        <v>21233</v>
      </c>
      <c r="D27">
        <v>25313</v>
      </c>
      <c r="E27">
        <v>21109</v>
      </c>
      <c r="F27">
        <v>25641</v>
      </c>
      <c r="G27">
        <v>23478</v>
      </c>
      <c r="H27">
        <v>30040</v>
      </c>
      <c r="I27">
        <v>33121</v>
      </c>
      <c r="J27">
        <v>33257</v>
      </c>
      <c r="K27">
        <v>43293</v>
      </c>
      <c r="L27">
        <v>62853</v>
      </c>
      <c r="M27">
        <v>50568</v>
      </c>
      <c r="N27">
        <v>62276</v>
      </c>
      <c r="O27">
        <v>36386</v>
      </c>
      <c r="P27">
        <v>32631</v>
      </c>
      <c r="Q27">
        <v>32132</v>
      </c>
      <c r="R27">
        <v>29083</v>
      </c>
      <c r="S27">
        <v>42915</v>
      </c>
      <c r="T27">
        <v>31207</v>
      </c>
      <c r="U27">
        <v>29069</v>
      </c>
      <c r="V27">
        <v>30512</v>
      </c>
      <c r="W27">
        <v>33539</v>
      </c>
      <c r="X27">
        <v>30847</v>
      </c>
      <c r="Y27">
        <v>62713</v>
      </c>
      <c r="Z27">
        <v>48051</v>
      </c>
      <c r="AA27">
        <v>46301</v>
      </c>
      <c r="AB27">
        <v>47381</v>
      </c>
      <c r="AC27">
        <v>42038</v>
      </c>
      <c r="AD27">
        <v>33980</v>
      </c>
      <c r="AE27">
        <v>35808</v>
      </c>
      <c r="AF27">
        <v>46337</v>
      </c>
      <c r="AG27">
        <v>43192</v>
      </c>
      <c r="AH27">
        <v>36788</v>
      </c>
      <c r="AI27">
        <v>35831</v>
      </c>
      <c r="AJ27">
        <v>34419</v>
      </c>
      <c r="AK27">
        <v>43727</v>
      </c>
      <c r="AL27">
        <v>70122</v>
      </c>
      <c r="AM27">
        <v>68232</v>
      </c>
      <c r="AN27">
        <v>53245</v>
      </c>
      <c r="AO27">
        <v>57365</v>
      </c>
      <c r="AP27">
        <v>43568</v>
      </c>
      <c r="AQ27">
        <v>46530</v>
      </c>
      <c r="AR27">
        <v>60600</v>
      </c>
      <c r="AS27">
        <v>43082</v>
      </c>
      <c r="AT27">
        <v>36665</v>
      </c>
      <c r="AU27">
        <v>35549</v>
      </c>
      <c r="AV27">
        <v>37586</v>
      </c>
      <c r="AW27">
        <v>42052</v>
      </c>
      <c r="AX27">
        <v>63874</v>
      </c>
      <c r="AY27">
        <v>52039</v>
      </c>
      <c r="AZ27">
        <v>64194</v>
      </c>
      <c r="BA27">
        <v>63332</v>
      </c>
      <c r="BB27">
        <v>40691</v>
      </c>
      <c r="BC27">
        <v>30990</v>
      </c>
      <c r="BD27">
        <v>38653</v>
      </c>
      <c r="BE27">
        <v>40258</v>
      </c>
      <c r="BF27">
        <v>35096</v>
      </c>
      <c r="BG27">
        <v>87781</v>
      </c>
      <c r="BH27">
        <v>50911</v>
      </c>
      <c r="BI27">
        <v>51581</v>
      </c>
      <c r="BJ27">
        <v>54357</v>
      </c>
      <c r="BK27">
        <v>60365</v>
      </c>
      <c r="BL27">
        <v>62722</v>
      </c>
      <c r="BM27">
        <v>76489</v>
      </c>
      <c r="BN27">
        <v>60430</v>
      </c>
      <c r="BO27">
        <v>101878</v>
      </c>
      <c r="BP27">
        <v>103934</v>
      </c>
      <c r="BQ27">
        <v>112781</v>
      </c>
      <c r="BR27">
        <v>77672</v>
      </c>
      <c r="BS27">
        <v>65250</v>
      </c>
      <c r="BT27">
        <v>64849</v>
      </c>
      <c r="BU27">
        <v>63166</v>
      </c>
      <c r="BV27">
        <v>65204</v>
      </c>
      <c r="BW27">
        <v>61685</v>
      </c>
      <c r="BX27">
        <v>58756</v>
      </c>
      <c r="BY27">
        <v>71529</v>
      </c>
      <c r="BZ27">
        <v>72212</v>
      </c>
    </row>
    <row r="28" spans="1:78" x14ac:dyDescent="0.2">
      <c r="A28">
        <v>21</v>
      </c>
      <c r="B28" t="s">
        <v>30</v>
      </c>
      <c r="C28">
        <v>3651554</v>
      </c>
      <c r="D28">
        <v>3761084</v>
      </c>
      <c r="E28">
        <v>3840522</v>
      </c>
      <c r="F28">
        <v>4004691</v>
      </c>
      <c r="G28">
        <v>4318273</v>
      </c>
      <c r="H28">
        <v>4633616</v>
      </c>
      <c r="I28">
        <v>4624272</v>
      </c>
      <c r="J28">
        <v>4748656</v>
      </c>
      <c r="K28">
        <v>5096342</v>
      </c>
      <c r="L28">
        <v>5032817</v>
      </c>
      <c r="M28">
        <v>4966742</v>
      </c>
      <c r="N28">
        <v>4974882</v>
      </c>
      <c r="O28">
        <v>4697803</v>
      </c>
      <c r="P28">
        <v>4465680</v>
      </c>
      <c r="Q28">
        <v>4545341</v>
      </c>
      <c r="R28">
        <v>4529716</v>
      </c>
      <c r="S28">
        <v>4571575</v>
      </c>
      <c r="T28">
        <v>4666733</v>
      </c>
      <c r="U28">
        <v>4832743</v>
      </c>
      <c r="V28">
        <v>4980804</v>
      </c>
      <c r="W28">
        <v>5143315</v>
      </c>
      <c r="X28">
        <v>4945787</v>
      </c>
      <c r="Y28">
        <v>4899418</v>
      </c>
      <c r="Z28">
        <v>4869469</v>
      </c>
      <c r="AA28">
        <v>4674014</v>
      </c>
      <c r="AB28">
        <v>4335687</v>
      </c>
      <c r="AC28">
        <v>4420934</v>
      </c>
      <c r="AD28">
        <v>4417488</v>
      </c>
      <c r="AE28">
        <v>4425923</v>
      </c>
      <c r="AF28">
        <v>4333898</v>
      </c>
      <c r="AG28">
        <v>4257499</v>
      </c>
      <c r="AH28">
        <v>4353632</v>
      </c>
      <c r="AI28">
        <v>4375235</v>
      </c>
      <c r="AJ28">
        <v>4309978</v>
      </c>
      <c r="AK28">
        <v>4396875</v>
      </c>
      <c r="AL28">
        <v>4251213</v>
      </c>
      <c r="AM28">
        <v>4246561</v>
      </c>
      <c r="AN28">
        <v>4151733</v>
      </c>
      <c r="AO28">
        <v>4112570</v>
      </c>
      <c r="AP28">
        <v>3977771</v>
      </c>
      <c r="AQ28">
        <v>4029755</v>
      </c>
      <c r="AR28">
        <v>4148987</v>
      </c>
      <c r="AS28">
        <v>4128412</v>
      </c>
      <c r="AT28">
        <v>3990657</v>
      </c>
      <c r="AU28">
        <v>4073288</v>
      </c>
      <c r="AV28">
        <v>4183801</v>
      </c>
      <c r="AW28">
        <v>4298105</v>
      </c>
      <c r="AX28">
        <v>4263877</v>
      </c>
      <c r="AY28">
        <v>4427294</v>
      </c>
      <c r="AZ28">
        <v>4286364</v>
      </c>
      <c r="BA28">
        <v>4241964</v>
      </c>
      <c r="BB28">
        <v>4468262</v>
      </c>
      <c r="BC28">
        <v>4617807</v>
      </c>
      <c r="BD28">
        <v>4589517</v>
      </c>
      <c r="BE28">
        <v>4709335</v>
      </c>
      <c r="BF28">
        <v>4747358</v>
      </c>
      <c r="BG28">
        <v>5452930</v>
      </c>
      <c r="BH28">
        <v>5143322</v>
      </c>
      <c r="BI28">
        <v>4956353</v>
      </c>
      <c r="BJ28">
        <v>5101197</v>
      </c>
      <c r="BK28">
        <v>5106910</v>
      </c>
      <c r="BL28">
        <v>5056369</v>
      </c>
      <c r="BM28">
        <v>5008664</v>
      </c>
      <c r="BN28">
        <v>5085955</v>
      </c>
      <c r="BO28">
        <v>5125747</v>
      </c>
      <c r="BP28">
        <v>5086209</v>
      </c>
      <c r="BQ28">
        <v>5012135</v>
      </c>
      <c r="BR28">
        <v>5015621</v>
      </c>
      <c r="BS28">
        <v>5129638</v>
      </c>
      <c r="BT28">
        <v>5199336</v>
      </c>
      <c r="BU28">
        <v>5257739</v>
      </c>
      <c r="BV28">
        <v>5478460</v>
      </c>
      <c r="BW28">
        <v>5531518</v>
      </c>
      <c r="BX28">
        <v>5535228</v>
      </c>
      <c r="BY28">
        <v>5675663</v>
      </c>
      <c r="BZ28">
        <v>5520846</v>
      </c>
    </row>
    <row r="29" spans="1:78" x14ac:dyDescent="0.2">
      <c r="A29">
        <v>22</v>
      </c>
      <c r="B29" t="s">
        <v>31</v>
      </c>
      <c r="C29">
        <v>45012</v>
      </c>
      <c r="D29">
        <v>45144</v>
      </c>
      <c r="E29">
        <v>45452</v>
      </c>
      <c r="F29">
        <v>45662</v>
      </c>
      <c r="G29">
        <v>45942</v>
      </c>
      <c r="H29">
        <v>47095</v>
      </c>
      <c r="I29">
        <v>47173</v>
      </c>
      <c r="J29">
        <v>47243</v>
      </c>
      <c r="K29">
        <v>47331</v>
      </c>
      <c r="L29">
        <v>48384</v>
      </c>
      <c r="M29">
        <v>48488</v>
      </c>
      <c r="N29">
        <v>48549</v>
      </c>
      <c r="O29">
        <v>48662</v>
      </c>
      <c r="P29">
        <v>49942</v>
      </c>
      <c r="Q29">
        <v>50000</v>
      </c>
      <c r="R29">
        <v>50117</v>
      </c>
      <c r="S29">
        <v>50207</v>
      </c>
      <c r="T29">
        <v>51522</v>
      </c>
      <c r="U29">
        <v>51830</v>
      </c>
      <c r="V29">
        <v>52024</v>
      </c>
      <c r="W29">
        <v>52104</v>
      </c>
      <c r="X29">
        <v>53421</v>
      </c>
      <c r="Y29">
        <v>53638</v>
      </c>
      <c r="Z29">
        <v>53747</v>
      </c>
      <c r="AA29">
        <v>53877</v>
      </c>
      <c r="AB29">
        <v>55630</v>
      </c>
      <c r="AC29">
        <v>55880</v>
      </c>
      <c r="AD29">
        <v>55906</v>
      </c>
      <c r="AE29">
        <v>55943</v>
      </c>
      <c r="AF29">
        <v>57798</v>
      </c>
      <c r="AG29">
        <v>57858</v>
      </c>
      <c r="AH29">
        <v>57936</v>
      </c>
      <c r="AI29">
        <v>57936</v>
      </c>
      <c r="AJ29">
        <v>59306</v>
      </c>
      <c r="AK29">
        <v>59782</v>
      </c>
      <c r="AL29">
        <v>59994</v>
      </c>
      <c r="AM29">
        <v>62080</v>
      </c>
      <c r="AN29">
        <v>62081</v>
      </c>
      <c r="AO29">
        <v>62091</v>
      </c>
      <c r="AP29">
        <v>62091</v>
      </c>
      <c r="AQ29">
        <v>63580</v>
      </c>
      <c r="AR29">
        <v>63791</v>
      </c>
      <c r="AS29">
        <v>63811</v>
      </c>
      <c r="AT29">
        <v>63838</v>
      </c>
      <c r="AU29">
        <v>64673</v>
      </c>
      <c r="AV29">
        <v>64707</v>
      </c>
      <c r="AW29">
        <v>65344</v>
      </c>
      <c r="AX29">
        <v>65344</v>
      </c>
      <c r="AY29">
        <v>65344</v>
      </c>
      <c r="AZ29">
        <v>66622</v>
      </c>
      <c r="BA29">
        <v>66673</v>
      </c>
      <c r="BB29">
        <v>66673</v>
      </c>
      <c r="BC29">
        <v>66673</v>
      </c>
      <c r="BD29">
        <v>68021</v>
      </c>
      <c r="BE29">
        <v>68039</v>
      </c>
      <c r="BF29">
        <v>68039</v>
      </c>
      <c r="BG29">
        <v>69338</v>
      </c>
      <c r="BH29">
        <v>69348</v>
      </c>
      <c r="BI29">
        <v>69563</v>
      </c>
      <c r="BJ29">
        <v>69887</v>
      </c>
      <c r="BK29">
        <v>71064</v>
      </c>
      <c r="BL29">
        <v>71105</v>
      </c>
      <c r="BM29">
        <v>71061</v>
      </c>
      <c r="BN29">
        <v>71011</v>
      </c>
      <c r="BO29">
        <v>71234</v>
      </c>
      <c r="BP29">
        <v>72561</v>
      </c>
      <c r="BQ29">
        <v>72656</v>
      </c>
      <c r="BR29">
        <v>73112</v>
      </c>
      <c r="BS29">
        <v>73455</v>
      </c>
      <c r="BT29">
        <v>74980</v>
      </c>
      <c r="BU29">
        <v>74884</v>
      </c>
      <c r="BV29">
        <v>75042</v>
      </c>
      <c r="BW29">
        <v>74947</v>
      </c>
      <c r="BX29">
        <v>76686</v>
      </c>
      <c r="BY29">
        <v>77351</v>
      </c>
      <c r="BZ29">
        <v>77046</v>
      </c>
    </row>
    <row r="30" spans="1:78" x14ac:dyDescent="0.2">
      <c r="A30">
        <v>23</v>
      </c>
      <c r="B30" t="s">
        <v>32</v>
      </c>
      <c r="C30">
        <v>1832846</v>
      </c>
      <c r="D30">
        <v>1946964</v>
      </c>
      <c r="E30">
        <v>1925535</v>
      </c>
      <c r="F30">
        <v>1960739</v>
      </c>
      <c r="G30">
        <v>2040551</v>
      </c>
      <c r="H30">
        <v>2152163</v>
      </c>
      <c r="I30">
        <v>2162639</v>
      </c>
      <c r="J30">
        <v>2316936</v>
      </c>
      <c r="K30">
        <v>2411026</v>
      </c>
      <c r="L30">
        <v>2533051</v>
      </c>
      <c r="M30">
        <v>2539804</v>
      </c>
      <c r="N30">
        <v>2813073</v>
      </c>
      <c r="O30">
        <v>2593808</v>
      </c>
      <c r="P30">
        <v>2469379</v>
      </c>
      <c r="Q30">
        <v>2459396</v>
      </c>
      <c r="R30">
        <v>2539562</v>
      </c>
      <c r="S30">
        <v>2568408</v>
      </c>
      <c r="T30">
        <v>2579753</v>
      </c>
      <c r="U30">
        <v>2645762</v>
      </c>
      <c r="V30">
        <v>2767247</v>
      </c>
      <c r="W30">
        <v>2857023</v>
      </c>
      <c r="X30">
        <v>2660233</v>
      </c>
      <c r="Y30">
        <v>2622641</v>
      </c>
      <c r="Z30">
        <v>2581531</v>
      </c>
      <c r="AA30">
        <v>2387671</v>
      </c>
      <c r="AB30">
        <v>2047290</v>
      </c>
      <c r="AC30">
        <v>2081403</v>
      </c>
      <c r="AD30">
        <v>2061681</v>
      </c>
      <c r="AE30">
        <v>2035561</v>
      </c>
      <c r="AF30">
        <v>2017574</v>
      </c>
      <c r="AG30">
        <v>1969225</v>
      </c>
      <c r="AH30">
        <v>1975717</v>
      </c>
      <c r="AI30">
        <v>1962172</v>
      </c>
      <c r="AJ30">
        <v>1917515</v>
      </c>
      <c r="AK30">
        <v>1935765</v>
      </c>
      <c r="AL30">
        <v>1807094</v>
      </c>
      <c r="AM30">
        <v>1761380</v>
      </c>
      <c r="AN30">
        <v>1749274</v>
      </c>
      <c r="AO30">
        <v>1686260</v>
      </c>
      <c r="AP30">
        <v>1632883</v>
      </c>
      <c r="AQ30">
        <v>1713905</v>
      </c>
      <c r="AR30">
        <v>1733903</v>
      </c>
      <c r="AS30">
        <v>1644446</v>
      </c>
      <c r="AT30">
        <v>1572334</v>
      </c>
      <c r="AU30">
        <v>1622387</v>
      </c>
      <c r="AV30">
        <v>1665711</v>
      </c>
      <c r="AW30">
        <v>1755686</v>
      </c>
      <c r="AX30">
        <v>1773901</v>
      </c>
      <c r="AY30">
        <v>1838210</v>
      </c>
      <c r="AZ30">
        <v>1791887</v>
      </c>
      <c r="BA30">
        <v>1797061</v>
      </c>
      <c r="BB30">
        <v>1854130</v>
      </c>
      <c r="BC30">
        <v>1861074</v>
      </c>
      <c r="BD30">
        <v>1902113</v>
      </c>
      <c r="BE30">
        <v>1926943</v>
      </c>
      <c r="BF30">
        <v>2059233</v>
      </c>
      <c r="BG30">
        <v>2585333</v>
      </c>
      <c r="BH30">
        <v>2280665</v>
      </c>
      <c r="BI30">
        <v>2169996</v>
      </c>
      <c r="BJ30">
        <v>2191918</v>
      </c>
      <c r="BK30">
        <v>2171322</v>
      </c>
      <c r="BL30">
        <v>2090469</v>
      </c>
      <c r="BM30">
        <v>2059709</v>
      </c>
      <c r="BN30">
        <v>2130863</v>
      </c>
      <c r="BO30">
        <v>2152759</v>
      </c>
      <c r="BP30">
        <v>2114975</v>
      </c>
      <c r="BQ30">
        <v>2156721</v>
      </c>
      <c r="BR30">
        <v>2230838</v>
      </c>
      <c r="BS30">
        <v>2170077</v>
      </c>
      <c r="BT30">
        <v>2139459</v>
      </c>
      <c r="BU30">
        <v>2161669</v>
      </c>
      <c r="BV30">
        <v>2265598</v>
      </c>
      <c r="BW30">
        <v>2212061</v>
      </c>
      <c r="BX30">
        <v>2254917</v>
      </c>
      <c r="BY30">
        <v>2384426</v>
      </c>
      <c r="BZ30">
        <v>2379871</v>
      </c>
    </row>
    <row r="31" spans="1:78" x14ac:dyDescent="0.2">
      <c r="A31">
        <v>24</v>
      </c>
      <c r="B31" t="s">
        <v>33</v>
      </c>
      <c r="C31">
        <v>1737990</v>
      </c>
      <c r="D31">
        <v>1732062</v>
      </c>
      <c r="E31">
        <v>1833575</v>
      </c>
      <c r="F31">
        <v>1960904</v>
      </c>
      <c r="G31">
        <v>2193628</v>
      </c>
      <c r="H31">
        <v>2390921</v>
      </c>
      <c r="I31">
        <v>2370766</v>
      </c>
      <c r="J31">
        <v>2336091</v>
      </c>
      <c r="K31">
        <v>2590950</v>
      </c>
      <c r="L31">
        <v>2400030</v>
      </c>
      <c r="M31">
        <v>2329694</v>
      </c>
      <c r="N31">
        <v>2068858</v>
      </c>
      <c r="O31">
        <v>2008240</v>
      </c>
      <c r="P31">
        <v>1902276</v>
      </c>
      <c r="Q31">
        <v>1992628</v>
      </c>
      <c r="R31">
        <v>1894958</v>
      </c>
      <c r="S31">
        <v>1909161</v>
      </c>
      <c r="T31">
        <v>1988666</v>
      </c>
      <c r="U31">
        <v>2088650</v>
      </c>
      <c r="V31">
        <v>2110455</v>
      </c>
      <c r="W31">
        <v>2187936</v>
      </c>
      <c r="X31">
        <v>2186135</v>
      </c>
      <c r="Y31">
        <v>2168813</v>
      </c>
      <c r="Z31">
        <v>2179093</v>
      </c>
      <c r="AA31">
        <v>2180056</v>
      </c>
      <c r="AB31">
        <v>2178850</v>
      </c>
      <c r="AC31">
        <v>2229827</v>
      </c>
      <c r="AD31">
        <v>2244177</v>
      </c>
      <c r="AE31">
        <v>2279504</v>
      </c>
      <c r="AF31">
        <v>2199411</v>
      </c>
      <c r="AG31">
        <v>2169562</v>
      </c>
      <c r="AH31">
        <v>2266610</v>
      </c>
      <c r="AI31">
        <v>2308229</v>
      </c>
      <c r="AJ31">
        <v>2283432</v>
      </c>
      <c r="AK31">
        <v>2353567</v>
      </c>
      <c r="AL31">
        <v>2337094</v>
      </c>
      <c r="AM31">
        <v>2377600</v>
      </c>
      <c r="AN31">
        <v>2295407</v>
      </c>
      <c r="AO31">
        <v>2318496</v>
      </c>
      <c r="AP31">
        <v>2238044</v>
      </c>
      <c r="AQ31">
        <v>2204157</v>
      </c>
      <c r="AR31">
        <v>2305619</v>
      </c>
      <c r="AS31">
        <v>2372451</v>
      </c>
      <c r="AT31">
        <v>2309092</v>
      </c>
      <c r="AU31">
        <v>2335920</v>
      </c>
      <c r="AV31">
        <v>2403095</v>
      </c>
      <c r="AW31">
        <v>2425403</v>
      </c>
      <c r="AX31">
        <v>2373136</v>
      </c>
      <c r="AY31">
        <v>2472168</v>
      </c>
      <c r="AZ31">
        <v>2375410</v>
      </c>
      <c r="BA31">
        <v>2327807</v>
      </c>
      <c r="BB31">
        <v>2495099</v>
      </c>
      <c r="BC31">
        <v>2639650</v>
      </c>
      <c r="BD31">
        <v>2569905</v>
      </c>
      <c r="BE31">
        <v>2660415</v>
      </c>
      <c r="BF31">
        <v>2566546</v>
      </c>
      <c r="BG31">
        <v>2749727</v>
      </c>
      <c r="BH31">
        <v>2749945</v>
      </c>
      <c r="BI31">
        <v>2674965</v>
      </c>
      <c r="BJ31">
        <v>2793830</v>
      </c>
      <c r="BK31">
        <v>2815116</v>
      </c>
      <c r="BL31">
        <v>2848423</v>
      </c>
      <c r="BM31">
        <v>2832141</v>
      </c>
      <c r="BN31">
        <v>2836821</v>
      </c>
      <c r="BO31">
        <v>2860981</v>
      </c>
      <c r="BP31">
        <v>2857812</v>
      </c>
      <c r="BQ31">
        <v>2740942</v>
      </c>
      <c r="BR31">
        <v>2671618</v>
      </c>
      <c r="BS31">
        <v>2848432</v>
      </c>
      <c r="BT31">
        <v>2949082</v>
      </c>
      <c r="BU31">
        <v>2983378</v>
      </c>
      <c r="BV31">
        <v>3095411</v>
      </c>
      <c r="BW31">
        <v>3202714</v>
      </c>
      <c r="BX31">
        <v>3161205</v>
      </c>
      <c r="BY31">
        <v>3168141</v>
      </c>
      <c r="BZ31">
        <v>3019133</v>
      </c>
    </row>
    <row r="32" spans="1:78" x14ac:dyDescent="0.2">
      <c r="A32">
        <v>25</v>
      </c>
      <c r="B32" t="s">
        <v>34</v>
      </c>
      <c r="C32" t="s">
        <v>35</v>
      </c>
      <c r="D32" t="s">
        <v>35</v>
      </c>
      <c r="E32" t="s">
        <v>35</v>
      </c>
      <c r="F32" t="s">
        <v>35</v>
      </c>
      <c r="G32" t="s">
        <v>35</v>
      </c>
      <c r="H32" t="s">
        <v>35</v>
      </c>
      <c r="I32" t="s">
        <v>35</v>
      </c>
      <c r="J32" t="s">
        <v>35</v>
      </c>
      <c r="K32" t="s">
        <v>35</v>
      </c>
      <c r="L32" t="s">
        <v>35</v>
      </c>
      <c r="M32" t="s">
        <v>35</v>
      </c>
      <c r="N32" t="s">
        <v>35</v>
      </c>
      <c r="O32" t="s">
        <v>35</v>
      </c>
      <c r="P32" t="s">
        <v>35</v>
      </c>
      <c r="Q32" t="s">
        <v>35</v>
      </c>
      <c r="R32" t="s">
        <v>35</v>
      </c>
      <c r="S32" t="s">
        <v>35</v>
      </c>
      <c r="T32" t="s">
        <v>35</v>
      </c>
      <c r="U32" t="s">
        <v>35</v>
      </c>
      <c r="V32" t="s">
        <v>35</v>
      </c>
      <c r="W32" t="s">
        <v>35</v>
      </c>
      <c r="X32" t="s">
        <v>35</v>
      </c>
      <c r="Y32" t="s">
        <v>35</v>
      </c>
      <c r="Z32" t="s">
        <v>35</v>
      </c>
      <c r="AA32" t="s">
        <v>35</v>
      </c>
      <c r="AB32" t="s">
        <v>35</v>
      </c>
      <c r="AC32" t="s">
        <v>35</v>
      </c>
      <c r="AD32" t="s">
        <v>35</v>
      </c>
      <c r="AE32" t="s">
        <v>35</v>
      </c>
      <c r="AF32" t="s">
        <v>35</v>
      </c>
      <c r="AG32" t="s">
        <v>35</v>
      </c>
      <c r="AH32" t="s">
        <v>35</v>
      </c>
      <c r="AI32" t="s">
        <v>35</v>
      </c>
      <c r="AJ32" t="s">
        <v>35</v>
      </c>
      <c r="AK32" t="s">
        <v>35</v>
      </c>
      <c r="AL32" t="s">
        <v>35</v>
      </c>
      <c r="AM32" t="s">
        <v>35</v>
      </c>
      <c r="AN32" t="s">
        <v>35</v>
      </c>
      <c r="AO32" t="s">
        <v>35</v>
      </c>
      <c r="AP32" t="s">
        <v>35</v>
      </c>
      <c r="AQ32" t="s">
        <v>35</v>
      </c>
      <c r="AR32" t="s">
        <v>35</v>
      </c>
      <c r="AS32" t="s">
        <v>35</v>
      </c>
      <c r="AT32" t="s">
        <v>35</v>
      </c>
      <c r="AU32" t="s">
        <v>35</v>
      </c>
      <c r="AV32" t="s">
        <v>35</v>
      </c>
      <c r="AW32" t="s">
        <v>35</v>
      </c>
      <c r="AX32" t="s">
        <v>35</v>
      </c>
      <c r="AY32" t="s">
        <v>35</v>
      </c>
      <c r="AZ32" t="s">
        <v>35</v>
      </c>
      <c r="BA32" t="s">
        <v>35</v>
      </c>
      <c r="BB32" t="s">
        <v>35</v>
      </c>
      <c r="BC32" t="s">
        <v>35</v>
      </c>
      <c r="BD32" t="s">
        <v>35</v>
      </c>
      <c r="BE32" t="s">
        <v>35</v>
      </c>
      <c r="BF32" t="s">
        <v>35</v>
      </c>
      <c r="BG32" t="s">
        <v>35</v>
      </c>
      <c r="BH32" t="s">
        <v>35</v>
      </c>
      <c r="BI32" t="s">
        <v>35</v>
      </c>
      <c r="BJ32" t="s">
        <v>35</v>
      </c>
      <c r="BK32" t="s">
        <v>35</v>
      </c>
      <c r="BL32" t="s">
        <v>35</v>
      </c>
      <c r="BM32" t="s">
        <v>35</v>
      </c>
      <c r="BN32" t="s">
        <v>35</v>
      </c>
      <c r="BO32" t="s">
        <v>35</v>
      </c>
      <c r="BP32" t="s">
        <v>35</v>
      </c>
      <c r="BQ32" t="s">
        <v>35</v>
      </c>
      <c r="BR32" t="s">
        <v>35</v>
      </c>
      <c r="BS32" t="s">
        <v>35</v>
      </c>
      <c r="BT32" t="s">
        <v>35</v>
      </c>
      <c r="BU32" t="s">
        <v>35</v>
      </c>
      <c r="BV32" t="s">
        <v>35</v>
      </c>
      <c r="BW32" t="s">
        <v>35</v>
      </c>
      <c r="BX32" t="s">
        <v>35</v>
      </c>
      <c r="BY32" t="s">
        <v>35</v>
      </c>
      <c r="BZ32" t="s">
        <v>35</v>
      </c>
    </row>
    <row r="33" spans="1:78" x14ac:dyDescent="0.2">
      <c r="A33">
        <v>26</v>
      </c>
      <c r="B33" t="s">
        <v>36</v>
      </c>
      <c r="C33">
        <v>35706</v>
      </c>
      <c r="D33">
        <v>36914</v>
      </c>
      <c r="E33">
        <v>35960</v>
      </c>
      <c r="F33">
        <v>37386</v>
      </c>
      <c r="G33">
        <v>38152</v>
      </c>
      <c r="H33">
        <v>43437</v>
      </c>
      <c r="I33">
        <v>43693</v>
      </c>
      <c r="J33">
        <v>48385</v>
      </c>
      <c r="K33">
        <v>47035</v>
      </c>
      <c r="L33">
        <v>51353</v>
      </c>
      <c r="M33">
        <v>48755</v>
      </c>
      <c r="N33">
        <v>44402</v>
      </c>
      <c r="O33">
        <v>47093</v>
      </c>
      <c r="P33">
        <v>44083</v>
      </c>
      <c r="Q33">
        <v>43317</v>
      </c>
      <c r="R33">
        <v>45079</v>
      </c>
      <c r="S33">
        <v>43800</v>
      </c>
      <c r="T33">
        <v>46792</v>
      </c>
      <c r="U33">
        <v>46501</v>
      </c>
      <c r="V33">
        <v>51078</v>
      </c>
      <c r="W33">
        <v>46252</v>
      </c>
      <c r="X33">
        <v>45998</v>
      </c>
      <c r="Y33">
        <v>54327</v>
      </c>
      <c r="Z33">
        <v>55098</v>
      </c>
      <c r="AA33">
        <v>52410</v>
      </c>
      <c r="AB33">
        <v>53917</v>
      </c>
      <c r="AC33">
        <v>53824</v>
      </c>
      <c r="AD33">
        <v>55724</v>
      </c>
      <c r="AE33">
        <v>54915</v>
      </c>
      <c r="AF33">
        <v>59115</v>
      </c>
      <c r="AG33">
        <v>60853</v>
      </c>
      <c r="AH33">
        <v>53370</v>
      </c>
      <c r="AI33">
        <v>46899</v>
      </c>
      <c r="AJ33">
        <v>49725</v>
      </c>
      <c r="AK33">
        <v>47762</v>
      </c>
      <c r="AL33">
        <v>47032</v>
      </c>
      <c r="AM33">
        <v>45500</v>
      </c>
      <c r="AN33">
        <v>44970</v>
      </c>
      <c r="AO33">
        <v>45723</v>
      </c>
      <c r="AP33">
        <v>44753</v>
      </c>
      <c r="AQ33">
        <v>48114</v>
      </c>
      <c r="AR33">
        <v>45674</v>
      </c>
      <c r="AS33">
        <v>47704</v>
      </c>
      <c r="AT33">
        <v>45393</v>
      </c>
      <c r="AU33">
        <v>50309</v>
      </c>
      <c r="AV33">
        <v>50288</v>
      </c>
      <c r="AW33">
        <v>51673</v>
      </c>
      <c r="AX33">
        <v>51496</v>
      </c>
      <c r="AY33">
        <v>51572</v>
      </c>
      <c r="AZ33">
        <v>52445</v>
      </c>
      <c r="BA33">
        <v>50423</v>
      </c>
      <c r="BB33">
        <v>52360</v>
      </c>
      <c r="BC33">
        <v>50411</v>
      </c>
      <c r="BD33">
        <v>49478</v>
      </c>
      <c r="BE33">
        <v>53938</v>
      </c>
      <c r="BF33">
        <v>53540</v>
      </c>
      <c r="BG33">
        <v>48531</v>
      </c>
      <c r="BH33">
        <v>43364</v>
      </c>
      <c r="BI33">
        <v>41829</v>
      </c>
      <c r="BJ33">
        <v>45563</v>
      </c>
      <c r="BK33">
        <v>49408</v>
      </c>
      <c r="BL33">
        <v>46372</v>
      </c>
      <c r="BM33">
        <v>45754</v>
      </c>
      <c r="BN33">
        <v>47260</v>
      </c>
      <c r="BO33">
        <v>40774</v>
      </c>
      <c r="BP33">
        <v>40861</v>
      </c>
      <c r="BQ33">
        <v>41815</v>
      </c>
      <c r="BR33">
        <v>40053</v>
      </c>
      <c r="BS33">
        <v>37675</v>
      </c>
      <c r="BT33">
        <v>35815</v>
      </c>
      <c r="BU33">
        <v>37809</v>
      </c>
      <c r="BV33">
        <v>42410</v>
      </c>
      <c r="BW33">
        <v>41795</v>
      </c>
      <c r="BX33">
        <v>42420</v>
      </c>
      <c r="BY33">
        <v>45745</v>
      </c>
      <c r="BZ33">
        <v>44796</v>
      </c>
    </row>
    <row r="34" spans="1:78" x14ac:dyDescent="0.2">
      <c r="A34">
        <v>27</v>
      </c>
      <c r="B34" t="s">
        <v>37</v>
      </c>
      <c r="C34">
        <v>206293</v>
      </c>
      <c r="D34">
        <v>217052</v>
      </c>
      <c r="E34">
        <v>211620</v>
      </c>
      <c r="F34">
        <v>219853</v>
      </c>
      <c r="G34">
        <v>228280</v>
      </c>
      <c r="H34">
        <v>224869</v>
      </c>
      <c r="I34">
        <v>252007</v>
      </c>
      <c r="J34">
        <v>277211</v>
      </c>
      <c r="K34">
        <v>308493</v>
      </c>
      <c r="L34">
        <v>307579</v>
      </c>
      <c r="M34">
        <v>291785</v>
      </c>
      <c r="N34">
        <v>293732</v>
      </c>
      <c r="O34">
        <v>303312</v>
      </c>
      <c r="P34">
        <v>314516</v>
      </c>
      <c r="Q34">
        <v>383368</v>
      </c>
      <c r="R34">
        <v>403804</v>
      </c>
      <c r="S34">
        <v>407947</v>
      </c>
      <c r="T34">
        <v>438549</v>
      </c>
      <c r="U34">
        <v>463609</v>
      </c>
      <c r="V34">
        <v>488673</v>
      </c>
      <c r="W34">
        <v>503346</v>
      </c>
      <c r="X34">
        <v>529062</v>
      </c>
      <c r="Y34">
        <v>559845</v>
      </c>
      <c r="Z34">
        <v>537037</v>
      </c>
      <c r="AA34">
        <v>572578</v>
      </c>
      <c r="AB34">
        <v>556620</v>
      </c>
      <c r="AC34">
        <v>606277</v>
      </c>
      <c r="AD34">
        <v>572368</v>
      </c>
      <c r="AE34">
        <v>553058</v>
      </c>
      <c r="AF34">
        <v>446207</v>
      </c>
      <c r="AG34">
        <v>483426</v>
      </c>
      <c r="AH34">
        <v>448333</v>
      </c>
      <c r="AI34">
        <v>470884</v>
      </c>
      <c r="AJ34">
        <v>477865</v>
      </c>
      <c r="AK34">
        <v>443987</v>
      </c>
      <c r="AL34">
        <v>434251</v>
      </c>
      <c r="AM34">
        <v>418485</v>
      </c>
      <c r="AN34">
        <v>415377</v>
      </c>
      <c r="AO34">
        <v>400352</v>
      </c>
      <c r="AP34">
        <v>383601</v>
      </c>
      <c r="AQ34">
        <v>432011</v>
      </c>
      <c r="AR34">
        <v>454415</v>
      </c>
      <c r="AS34">
        <v>457105</v>
      </c>
      <c r="AT34">
        <v>405785</v>
      </c>
      <c r="AU34">
        <v>433093</v>
      </c>
      <c r="AV34">
        <v>435670</v>
      </c>
      <c r="AW34">
        <v>448217</v>
      </c>
      <c r="AX34">
        <v>449703</v>
      </c>
      <c r="AY34">
        <v>461349</v>
      </c>
      <c r="AZ34">
        <v>440925</v>
      </c>
      <c r="BA34">
        <v>423036</v>
      </c>
      <c r="BB34">
        <v>449070</v>
      </c>
      <c r="BC34">
        <v>452735</v>
      </c>
      <c r="BD34">
        <v>485635</v>
      </c>
      <c r="BE34">
        <v>504858</v>
      </c>
      <c r="BF34">
        <v>514411</v>
      </c>
      <c r="BG34">
        <v>537473</v>
      </c>
      <c r="BH34">
        <v>585092</v>
      </c>
      <c r="BI34">
        <v>621237</v>
      </c>
      <c r="BJ34">
        <v>627306</v>
      </c>
      <c r="BK34">
        <v>570083</v>
      </c>
      <c r="BL34">
        <v>590117</v>
      </c>
      <c r="BM34">
        <v>695135</v>
      </c>
      <c r="BN34">
        <v>712332</v>
      </c>
      <c r="BO34">
        <v>744988</v>
      </c>
      <c r="BP34">
        <v>702624</v>
      </c>
      <c r="BQ34">
        <v>656202</v>
      </c>
      <c r="BR34">
        <v>706914</v>
      </c>
      <c r="BS34">
        <v>753515</v>
      </c>
      <c r="BT34">
        <v>732923</v>
      </c>
      <c r="BU34">
        <v>719016</v>
      </c>
      <c r="BV34">
        <v>777449</v>
      </c>
      <c r="BW34">
        <v>811616</v>
      </c>
      <c r="BX34">
        <v>840562</v>
      </c>
      <c r="BY34">
        <v>927267</v>
      </c>
      <c r="BZ34">
        <v>909945</v>
      </c>
    </row>
    <row r="35" spans="1:78" x14ac:dyDescent="0.2">
      <c r="A35">
        <v>28</v>
      </c>
      <c r="B35" t="s">
        <v>38</v>
      </c>
      <c r="C35">
        <v>152221</v>
      </c>
      <c r="D35">
        <v>160430</v>
      </c>
      <c r="E35">
        <v>156703</v>
      </c>
      <c r="F35">
        <v>165267</v>
      </c>
      <c r="G35">
        <v>173047</v>
      </c>
      <c r="H35">
        <v>170105</v>
      </c>
      <c r="I35">
        <v>194294</v>
      </c>
      <c r="J35">
        <v>218025</v>
      </c>
      <c r="K35">
        <v>244109</v>
      </c>
      <c r="L35">
        <v>243259</v>
      </c>
      <c r="M35">
        <v>231296</v>
      </c>
      <c r="N35">
        <v>227439</v>
      </c>
      <c r="O35">
        <v>239664</v>
      </c>
      <c r="P35">
        <v>244371</v>
      </c>
      <c r="Q35">
        <v>260388</v>
      </c>
      <c r="R35">
        <v>284380</v>
      </c>
      <c r="S35">
        <v>291702</v>
      </c>
      <c r="T35">
        <v>325305</v>
      </c>
      <c r="U35">
        <v>341779</v>
      </c>
      <c r="V35">
        <v>367537</v>
      </c>
      <c r="W35">
        <v>376297</v>
      </c>
      <c r="X35">
        <v>393687</v>
      </c>
      <c r="Y35">
        <v>423628</v>
      </c>
      <c r="Z35">
        <v>400355</v>
      </c>
      <c r="AA35">
        <v>434742</v>
      </c>
      <c r="AB35">
        <v>418006</v>
      </c>
      <c r="AC35">
        <v>464422</v>
      </c>
      <c r="AD35">
        <v>433434</v>
      </c>
      <c r="AE35">
        <v>417941</v>
      </c>
      <c r="AF35">
        <v>311707</v>
      </c>
      <c r="AG35">
        <v>346878</v>
      </c>
      <c r="AH35">
        <v>314975</v>
      </c>
      <c r="AI35">
        <v>337791</v>
      </c>
      <c r="AJ35">
        <v>343871</v>
      </c>
      <c r="AK35">
        <v>318113</v>
      </c>
      <c r="AL35">
        <v>315368</v>
      </c>
      <c r="AM35">
        <v>310399</v>
      </c>
      <c r="AN35">
        <v>306215</v>
      </c>
      <c r="AO35">
        <v>291310</v>
      </c>
      <c r="AP35">
        <v>277189</v>
      </c>
      <c r="AQ35">
        <v>323474</v>
      </c>
      <c r="AR35">
        <v>345375</v>
      </c>
      <c r="AS35">
        <v>345832</v>
      </c>
      <c r="AT35">
        <v>299652</v>
      </c>
      <c r="AU35">
        <v>325527</v>
      </c>
      <c r="AV35">
        <v>324847</v>
      </c>
      <c r="AW35">
        <v>335529</v>
      </c>
      <c r="AX35">
        <v>337595</v>
      </c>
      <c r="AY35">
        <v>346185</v>
      </c>
      <c r="AZ35">
        <v>326991</v>
      </c>
      <c r="BA35">
        <v>310465</v>
      </c>
      <c r="BB35">
        <v>334457</v>
      </c>
      <c r="BC35">
        <v>338746</v>
      </c>
      <c r="BD35">
        <v>368452</v>
      </c>
      <c r="BE35">
        <v>388404</v>
      </c>
      <c r="BF35">
        <v>396105</v>
      </c>
      <c r="BG35">
        <v>420739</v>
      </c>
      <c r="BH35">
        <v>462356</v>
      </c>
      <c r="BI35">
        <v>493422</v>
      </c>
      <c r="BJ35">
        <v>493605</v>
      </c>
      <c r="BK35">
        <v>442208</v>
      </c>
      <c r="BL35">
        <v>461062</v>
      </c>
      <c r="BM35">
        <v>455740</v>
      </c>
      <c r="BN35">
        <v>472229</v>
      </c>
      <c r="BO35">
        <v>507871</v>
      </c>
      <c r="BP35">
        <v>475144</v>
      </c>
      <c r="BQ35">
        <v>437161</v>
      </c>
      <c r="BR35">
        <v>474294</v>
      </c>
      <c r="BS35">
        <v>517689</v>
      </c>
      <c r="BT35">
        <v>500051</v>
      </c>
      <c r="BU35">
        <v>489134</v>
      </c>
      <c r="BV35">
        <v>543499</v>
      </c>
      <c r="BW35">
        <v>579050</v>
      </c>
      <c r="BX35">
        <v>609528</v>
      </c>
      <c r="BY35">
        <v>687729</v>
      </c>
      <c r="BZ35">
        <v>682277</v>
      </c>
    </row>
    <row r="36" spans="1:78" x14ac:dyDescent="0.2">
      <c r="A36">
        <v>29</v>
      </c>
      <c r="B36" t="s">
        <v>39</v>
      </c>
      <c r="C36">
        <v>8344</v>
      </c>
      <c r="D36">
        <v>8618</v>
      </c>
      <c r="E36">
        <v>8655</v>
      </c>
      <c r="F36">
        <v>8870</v>
      </c>
      <c r="G36">
        <v>8948</v>
      </c>
      <c r="H36">
        <v>9018</v>
      </c>
      <c r="I36">
        <v>9301</v>
      </c>
      <c r="J36">
        <v>9476</v>
      </c>
      <c r="K36">
        <v>9892</v>
      </c>
      <c r="L36">
        <v>9849</v>
      </c>
      <c r="M36">
        <v>9418</v>
      </c>
      <c r="N36">
        <v>9340</v>
      </c>
      <c r="O36">
        <v>9082</v>
      </c>
      <c r="P36">
        <v>9437</v>
      </c>
      <c r="Q36">
        <v>57945</v>
      </c>
      <c r="R36">
        <v>57814</v>
      </c>
      <c r="S36">
        <v>55996</v>
      </c>
      <c r="T36">
        <v>54551</v>
      </c>
      <c r="U36">
        <v>57410</v>
      </c>
      <c r="V36">
        <v>56824</v>
      </c>
      <c r="W36">
        <v>56543</v>
      </c>
      <c r="X36">
        <v>57234</v>
      </c>
      <c r="Y36">
        <v>55875</v>
      </c>
      <c r="Z36">
        <v>54956</v>
      </c>
      <c r="AA36">
        <v>55460</v>
      </c>
      <c r="AB36">
        <v>54341</v>
      </c>
      <c r="AC36">
        <v>55232</v>
      </c>
      <c r="AD36">
        <v>55050</v>
      </c>
      <c r="AE36">
        <v>53704</v>
      </c>
      <c r="AF36">
        <v>53881</v>
      </c>
      <c r="AG36">
        <v>54966</v>
      </c>
      <c r="AH36">
        <v>55184</v>
      </c>
      <c r="AI36">
        <v>55394</v>
      </c>
      <c r="AJ36">
        <v>55411</v>
      </c>
      <c r="AK36">
        <v>53148</v>
      </c>
      <c r="AL36">
        <v>51941</v>
      </c>
      <c r="AM36">
        <v>49459</v>
      </c>
      <c r="AN36">
        <v>50425</v>
      </c>
      <c r="AO36">
        <v>50332</v>
      </c>
      <c r="AP36">
        <v>49688</v>
      </c>
      <c r="AQ36">
        <v>50518</v>
      </c>
      <c r="AR36">
        <v>50161</v>
      </c>
      <c r="AS36">
        <v>50054</v>
      </c>
      <c r="AT36">
        <v>48883</v>
      </c>
      <c r="AU36">
        <v>49349</v>
      </c>
      <c r="AV36">
        <v>50620</v>
      </c>
      <c r="AW36">
        <v>51443</v>
      </c>
      <c r="AX36">
        <v>51864</v>
      </c>
      <c r="AY36">
        <v>52979</v>
      </c>
      <c r="AZ36">
        <v>51288</v>
      </c>
      <c r="BA36">
        <v>50918</v>
      </c>
      <c r="BB36">
        <v>50803</v>
      </c>
      <c r="BC36">
        <v>50766</v>
      </c>
      <c r="BD36">
        <v>50898</v>
      </c>
      <c r="BE36">
        <v>49976</v>
      </c>
      <c r="BF36">
        <v>50749</v>
      </c>
      <c r="BG36">
        <v>50136</v>
      </c>
      <c r="BH36">
        <v>50556</v>
      </c>
      <c r="BI36">
        <v>51733</v>
      </c>
      <c r="BJ36">
        <v>52942</v>
      </c>
      <c r="BK36">
        <v>52102</v>
      </c>
      <c r="BL36">
        <v>52445</v>
      </c>
      <c r="BM36">
        <v>163874</v>
      </c>
      <c r="BN36">
        <v>163629</v>
      </c>
      <c r="BO36">
        <v>163131</v>
      </c>
      <c r="BP36">
        <v>158195</v>
      </c>
      <c r="BQ36">
        <v>153175</v>
      </c>
      <c r="BR36">
        <v>160537</v>
      </c>
      <c r="BS36">
        <v>163241</v>
      </c>
      <c r="BT36">
        <v>162206</v>
      </c>
      <c r="BU36">
        <v>162057</v>
      </c>
      <c r="BV36">
        <v>166498</v>
      </c>
      <c r="BW36">
        <v>166269</v>
      </c>
      <c r="BX36">
        <v>166212</v>
      </c>
      <c r="BY36">
        <v>172895</v>
      </c>
      <c r="BZ36">
        <v>166890</v>
      </c>
    </row>
    <row r="37" spans="1:78" x14ac:dyDescent="0.2">
      <c r="A37">
        <v>30</v>
      </c>
      <c r="B37" t="s">
        <v>40</v>
      </c>
      <c r="C37">
        <v>7376</v>
      </c>
      <c r="D37">
        <v>7906</v>
      </c>
      <c r="E37">
        <v>6619</v>
      </c>
      <c r="F37">
        <v>5040</v>
      </c>
      <c r="G37">
        <v>4846</v>
      </c>
      <c r="H37">
        <v>4573</v>
      </c>
      <c r="I37">
        <v>4463</v>
      </c>
      <c r="J37">
        <v>4244</v>
      </c>
      <c r="K37">
        <v>4302</v>
      </c>
      <c r="L37">
        <v>5237</v>
      </c>
      <c r="M37">
        <v>4750</v>
      </c>
      <c r="N37">
        <v>7683</v>
      </c>
      <c r="O37">
        <v>8201</v>
      </c>
      <c r="P37">
        <v>12114</v>
      </c>
      <c r="Q37">
        <v>13471</v>
      </c>
      <c r="R37">
        <v>11385</v>
      </c>
      <c r="S37">
        <v>11598</v>
      </c>
      <c r="T37">
        <v>11365</v>
      </c>
      <c r="U37">
        <v>12938</v>
      </c>
      <c r="V37">
        <v>12492</v>
      </c>
      <c r="W37">
        <v>19332</v>
      </c>
      <c r="X37">
        <v>25541</v>
      </c>
      <c r="Y37">
        <v>28804</v>
      </c>
      <c r="Z37">
        <v>30080</v>
      </c>
      <c r="AA37">
        <v>31436</v>
      </c>
      <c r="AB37">
        <v>33930</v>
      </c>
      <c r="AC37">
        <v>35248</v>
      </c>
      <c r="AD37">
        <v>34161</v>
      </c>
      <c r="AE37">
        <v>34039</v>
      </c>
      <c r="AF37">
        <v>33860</v>
      </c>
      <c r="AG37">
        <v>33462</v>
      </c>
      <c r="AH37">
        <v>30750</v>
      </c>
      <c r="AI37">
        <v>29820</v>
      </c>
      <c r="AJ37">
        <v>30535</v>
      </c>
      <c r="AK37">
        <v>28358</v>
      </c>
      <c r="AL37">
        <v>25164</v>
      </c>
      <c r="AM37">
        <v>19783</v>
      </c>
      <c r="AN37">
        <v>19236</v>
      </c>
      <c r="AO37">
        <v>18891</v>
      </c>
      <c r="AP37">
        <v>17609</v>
      </c>
      <c r="AQ37">
        <v>16677</v>
      </c>
      <c r="AR37">
        <v>16733</v>
      </c>
      <c r="AS37">
        <v>18348</v>
      </c>
      <c r="AT37">
        <v>18385</v>
      </c>
      <c r="AU37">
        <v>18295</v>
      </c>
      <c r="AV37">
        <v>18846</v>
      </c>
      <c r="AW37">
        <v>19040</v>
      </c>
      <c r="AX37">
        <v>17633</v>
      </c>
      <c r="AY37">
        <v>17927</v>
      </c>
      <c r="AZ37">
        <v>20476</v>
      </c>
      <c r="BA37">
        <v>20024</v>
      </c>
      <c r="BB37">
        <v>22016</v>
      </c>
      <c r="BC37">
        <v>22090</v>
      </c>
      <c r="BD37">
        <v>24375</v>
      </c>
      <c r="BE37">
        <v>25632</v>
      </c>
      <c r="BF37">
        <v>26153</v>
      </c>
      <c r="BG37">
        <v>25492</v>
      </c>
      <c r="BH37">
        <v>30631</v>
      </c>
      <c r="BI37">
        <v>33135</v>
      </c>
      <c r="BJ37">
        <v>36370</v>
      </c>
      <c r="BK37">
        <v>33657</v>
      </c>
      <c r="BL37">
        <v>34313</v>
      </c>
      <c r="BM37">
        <v>33900</v>
      </c>
      <c r="BN37">
        <v>35832</v>
      </c>
      <c r="BO37">
        <v>34799</v>
      </c>
      <c r="BP37">
        <v>33065</v>
      </c>
      <c r="BQ37">
        <v>32001</v>
      </c>
      <c r="BR37">
        <v>34970</v>
      </c>
      <c r="BS37">
        <v>35142</v>
      </c>
      <c r="BT37">
        <v>34118</v>
      </c>
      <c r="BU37">
        <v>32278</v>
      </c>
      <c r="BV37">
        <v>30296</v>
      </c>
      <c r="BW37">
        <v>30502</v>
      </c>
      <c r="BX37">
        <v>29625</v>
      </c>
      <c r="BY37">
        <v>28878</v>
      </c>
      <c r="BZ37">
        <v>26005</v>
      </c>
    </row>
    <row r="38" spans="1:78" x14ac:dyDescent="0.2">
      <c r="A38">
        <v>31</v>
      </c>
      <c r="B38" t="s">
        <v>41</v>
      </c>
      <c r="C38">
        <v>38352</v>
      </c>
      <c r="D38">
        <v>40098</v>
      </c>
      <c r="E38">
        <v>39643</v>
      </c>
      <c r="F38">
        <v>40676</v>
      </c>
      <c r="G38">
        <v>41439</v>
      </c>
      <c r="H38">
        <v>41173</v>
      </c>
      <c r="I38">
        <v>43949</v>
      </c>
      <c r="J38">
        <v>45466</v>
      </c>
      <c r="K38">
        <v>50190</v>
      </c>
      <c r="L38">
        <v>49234</v>
      </c>
      <c r="M38">
        <v>46321</v>
      </c>
      <c r="N38">
        <v>49270</v>
      </c>
      <c r="O38">
        <v>46365</v>
      </c>
      <c r="P38">
        <v>48594</v>
      </c>
      <c r="Q38">
        <v>51564</v>
      </c>
      <c r="R38">
        <v>50225</v>
      </c>
      <c r="S38">
        <v>48651</v>
      </c>
      <c r="T38">
        <v>47328</v>
      </c>
      <c r="U38">
        <v>51482</v>
      </c>
      <c r="V38">
        <v>51820</v>
      </c>
      <c r="W38">
        <v>51174</v>
      </c>
      <c r="X38">
        <v>52600</v>
      </c>
      <c r="Y38">
        <v>51538</v>
      </c>
      <c r="Z38">
        <v>51646</v>
      </c>
      <c r="AA38">
        <v>50940</v>
      </c>
      <c r="AB38">
        <v>50343</v>
      </c>
      <c r="AC38">
        <v>51375</v>
      </c>
      <c r="AD38">
        <v>49723</v>
      </c>
      <c r="AE38">
        <v>47374</v>
      </c>
      <c r="AF38">
        <v>46759</v>
      </c>
      <c r="AG38">
        <v>48120</v>
      </c>
      <c r="AH38">
        <v>47424</v>
      </c>
      <c r="AI38">
        <v>47879</v>
      </c>
      <c r="AJ38">
        <v>48048</v>
      </c>
      <c r="AK38">
        <v>44368</v>
      </c>
      <c r="AL38">
        <v>41778</v>
      </c>
      <c r="AM38">
        <v>38844</v>
      </c>
      <c r="AN38">
        <v>39501</v>
      </c>
      <c r="AO38">
        <v>39819</v>
      </c>
      <c r="AP38">
        <v>39115</v>
      </c>
      <c r="AQ38">
        <v>41342</v>
      </c>
      <c r="AR38">
        <v>42146</v>
      </c>
      <c r="AS38">
        <v>42871</v>
      </c>
      <c r="AT38">
        <v>38865</v>
      </c>
      <c r="AU38">
        <v>39922</v>
      </c>
      <c r="AV38">
        <v>41358</v>
      </c>
      <c r="AW38">
        <v>42204</v>
      </c>
      <c r="AX38">
        <v>42612</v>
      </c>
      <c r="AY38">
        <v>44259</v>
      </c>
      <c r="AZ38">
        <v>42170</v>
      </c>
      <c r="BA38">
        <v>41629</v>
      </c>
      <c r="BB38">
        <v>41794</v>
      </c>
      <c r="BC38">
        <v>41133</v>
      </c>
      <c r="BD38">
        <v>41910</v>
      </c>
      <c r="BE38">
        <v>40846</v>
      </c>
      <c r="BF38">
        <v>41403</v>
      </c>
      <c r="BG38">
        <v>41107</v>
      </c>
      <c r="BH38">
        <v>41549</v>
      </c>
      <c r="BI38">
        <v>42946</v>
      </c>
      <c r="BJ38">
        <v>44388</v>
      </c>
      <c r="BK38">
        <v>42116</v>
      </c>
      <c r="BL38">
        <v>42296</v>
      </c>
      <c r="BM38">
        <v>41620</v>
      </c>
      <c r="BN38">
        <v>40642</v>
      </c>
      <c r="BO38">
        <v>39187</v>
      </c>
      <c r="BP38">
        <v>36219</v>
      </c>
      <c r="BQ38">
        <v>33865</v>
      </c>
      <c r="BR38">
        <v>37112</v>
      </c>
      <c r="BS38">
        <v>37442</v>
      </c>
      <c r="BT38">
        <v>36548</v>
      </c>
      <c r="BU38">
        <v>35547</v>
      </c>
      <c r="BV38">
        <v>37155</v>
      </c>
      <c r="BW38">
        <v>35795</v>
      </c>
      <c r="BX38">
        <v>35197</v>
      </c>
      <c r="BY38">
        <v>37764</v>
      </c>
      <c r="BZ38">
        <v>34773</v>
      </c>
    </row>
    <row r="39" spans="1:78" x14ac:dyDescent="0.2">
      <c r="A39">
        <v>32</v>
      </c>
      <c r="B39" t="s">
        <v>42</v>
      </c>
      <c r="C39">
        <v>16386</v>
      </c>
      <c r="D39">
        <v>17244</v>
      </c>
      <c r="E39">
        <v>17084</v>
      </c>
      <c r="F39">
        <v>17614</v>
      </c>
      <c r="G39">
        <v>17969</v>
      </c>
      <c r="H39">
        <v>18022</v>
      </c>
      <c r="I39">
        <v>19205</v>
      </c>
      <c r="J39">
        <v>19886</v>
      </c>
      <c r="K39">
        <v>22466</v>
      </c>
      <c r="L39">
        <v>20568</v>
      </c>
      <c r="M39">
        <v>18185</v>
      </c>
      <c r="N39">
        <v>18025</v>
      </c>
      <c r="O39">
        <v>16926</v>
      </c>
      <c r="P39">
        <v>17753</v>
      </c>
      <c r="Q39">
        <v>22119</v>
      </c>
      <c r="R39">
        <v>21562</v>
      </c>
      <c r="S39">
        <v>20894</v>
      </c>
      <c r="T39">
        <v>20029</v>
      </c>
      <c r="U39">
        <v>21891</v>
      </c>
      <c r="V39">
        <v>21847</v>
      </c>
      <c r="W39">
        <v>20671</v>
      </c>
      <c r="X39">
        <v>21982</v>
      </c>
      <c r="Y39">
        <v>21231</v>
      </c>
      <c r="Z39">
        <v>26673</v>
      </c>
      <c r="AA39">
        <v>21705</v>
      </c>
      <c r="AB39">
        <v>21240</v>
      </c>
      <c r="AC39">
        <v>25007</v>
      </c>
      <c r="AD39">
        <v>24934</v>
      </c>
      <c r="AE39">
        <v>23039</v>
      </c>
      <c r="AF39">
        <v>21351</v>
      </c>
      <c r="AG39">
        <v>21575</v>
      </c>
      <c r="AH39">
        <v>20889</v>
      </c>
      <c r="AI39">
        <v>20930</v>
      </c>
      <c r="AJ39">
        <v>24777</v>
      </c>
      <c r="AK39">
        <v>22143</v>
      </c>
      <c r="AL39">
        <v>19003</v>
      </c>
      <c r="AM39">
        <v>17440</v>
      </c>
      <c r="AN39">
        <v>17818</v>
      </c>
      <c r="AO39">
        <v>17926</v>
      </c>
      <c r="AP39">
        <v>17555</v>
      </c>
      <c r="AQ39">
        <v>19276</v>
      </c>
      <c r="AR39">
        <v>20914</v>
      </c>
      <c r="AS39">
        <v>23537</v>
      </c>
      <c r="AT39">
        <v>17728</v>
      </c>
      <c r="AU39">
        <v>20180</v>
      </c>
      <c r="AV39">
        <v>22627</v>
      </c>
      <c r="AW39">
        <v>25326</v>
      </c>
      <c r="AX39">
        <v>25649</v>
      </c>
      <c r="AY39">
        <v>27356</v>
      </c>
      <c r="AZ39">
        <v>27887</v>
      </c>
      <c r="BA39">
        <v>27694</v>
      </c>
      <c r="BB39">
        <v>27334</v>
      </c>
      <c r="BC39">
        <v>27393</v>
      </c>
      <c r="BD39">
        <v>28633</v>
      </c>
      <c r="BE39">
        <v>28089</v>
      </c>
      <c r="BF39">
        <v>29269</v>
      </c>
      <c r="BG39">
        <v>29519</v>
      </c>
      <c r="BH39">
        <v>30554</v>
      </c>
      <c r="BI39">
        <v>32039</v>
      </c>
      <c r="BJ39">
        <v>30045</v>
      </c>
      <c r="BK39">
        <v>28435</v>
      </c>
      <c r="BL39">
        <v>29028</v>
      </c>
      <c r="BM39">
        <v>31358</v>
      </c>
      <c r="BN39">
        <v>28260</v>
      </c>
      <c r="BO39">
        <v>28331</v>
      </c>
      <c r="BP39">
        <v>26096</v>
      </c>
      <c r="BQ39">
        <v>25648</v>
      </c>
      <c r="BR39">
        <v>28342</v>
      </c>
      <c r="BS39">
        <v>28697</v>
      </c>
      <c r="BT39">
        <v>28091</v>
      </c>
      <c r="BU39">
        <v>27378</v>
      </c>
      <c r="BV39">
        <v>29424</v>
      </c>
      <c r="BW39">
        <v>28687</v>
      </c>
      <c r="BX39">
        <v>28025</v>
      </c>
      <c r="BY39">
        <v>27154</v>
      </c>
      <c r="BZ39">
        <v>21804</v>
      </c>
    </row>
    <row r="40" spans="1:78" x14ac:dyDescent="0.2">
      <c r="A40">
        <v>33</v>
      </c>
      <c r="B40" t="s">
        <v>43</v>
      </c>
      <c r="C40">
        <v>17991</v>
      </c>
      <c r="D40">
        <v>18641</v>
      </c>
      <c r="E40">
        <v>18342</v>
      </c>
      <c r="F40">
        <v>18637</v>
      </c>
      <c r="G40">
        <v>18944</v>
      </c>
      <c r="H40">
        <v>18526</v>
      </c>
      <c r="I40">
        <v>19837</v>
      </c>
      <c r="J40">
        <v>20487</v>
      </c>
      <c r="K40">
        <v>22152</v>
      </c>
      <c r="L40">
        <v>21988</v>
      </c>
      <c r="M40">
        <v>20835</v>
      </c>
      <c r="N40">
        <v>23095</v>
      </c>
      <c r="O40">
        <v>21647</v>
      </c>
      <c r="P40">
        <v>22588</v>
      </c>
      <c r="Q40">
        <v>24160</v>
      </c>
      <c r="R40">
        <v>23482</v>
      </c>
      <c r="S40">
        <v>22828</v>
      </c>
      <c r="T40">
        <v>22767</v>
      </c>
      <c r="U40">
        <v>24585</v>
      </c>
      <c r="V40">
        <v>25039</v>
      </c>
      <c r="W40">
        <v>25232</v>
      </c>
      <c r="X40">
        <v>25229</v>
      </c>
      <c r="Y40">
        <v>25297</v>
      </c>
      <c r="Z40">
        <v>24973</v>
      </c>
      <c r="AA40">
        <v>24243</v>
      </c>
      <c r="AB40">
        <v>24261</v>
      </c>
      <c r="AC40">
        <v>24825</v>
      </c>
      <c r="AD40">
        <v>23471</v>
      </c>
      <c r="AE40">
        <v>22152</v>
      </c>
      <c r="AF40">
        <v>21570</v>
      </c>
      <c r="AG40">
        <v>22078</v>
      </c>
      <c r="AH40">
        <v>21436</v>
      </c>
      <c r="AI40">
        <v>21727</v>
      </c>
      <c r="AJ40">
        <v>21866</v>
      </c>
      <c r="AK40">
        <v>22225</v>
      </c>
      <c r="AL40">
        <v>22775</v>
      </c>
      <c r="AM40">
        <v>21404</v>
      </c>
      <c r="AN40">
        <v>21683</v>
      </c>
      <c r="AO40">
        <v>21893</v>
      </c>
      <c r="AP40">
        <v>21560</v>
      </c>
      <c r="AQ40">
        <v>22066</v>
      </c>
      <c r="AR40">
        <v>21232</v>
      </c>
      <c r="AS40">
        <v>19334</v>
      </c>
      <c r="AT40">
        <v>21137</v>
      </c>
      <c r="AU40">
        <v>19742</v>
      </c>
      <c r="AV40">
        <v>18731</v>
      </c>
      <c r="AW40">
        <v>16878</v>
      </c>
      <c r="AX40">
        <v>16963</v>
      </c>
      <c r="AY40">
        <v>16903</v>
      </c>
      <c r="AZ40">
        <v>14283</v>
      </c>
      <c r="BA40">
        <v>13935</v>
      </c>
      <c r="BB40">
        <v>14460</v>
      </c>
      <c r="BC40">
        <v>13740</v>
      </c>
      <c r="BD40">
        <v>13277</v>
      </c>
      <c r="BE40">
        <v>12756</v>
      </c>
      <c r="BF40">
        <v>12134</v>
      </c>
      <c r="BG40">
        <v>11588</v>
      </c>
      <c r="BH40">
        <v>10995</v>
      </c>
      <c r="BI40">
        <v>10908</v>
      </c>
      <c r="BJ40">
        <v>14343</v>
      </c>
      <c r="BK40">
        <v>13681</v>
      </c>
      <c r="BL40">
        <v>13268</v>
      </c>
      <c r="BM40">
        <v>10262</v>
      </c>
      <c r="BN40">
        <v>12382</v>
      </c>
      <c r="BO40">
        <v>10856</v>
      </c>
      <c r="BP40">
        <v>10123</v>
      </c>
      <c r="BQ40">
        <v>8217</v>
      </c>
      <c r="BR40">
        <v>8770</v>
      </c>
      <c r="BS40">
        <v>8745</v>
      </c>
      <c r="BT40">
        <v>8457</v>
      </c>
      <c r="BU40">
        <v>8169</v>
      </c>
      <c r="BV40">
        <v>7731</v>
      </c>
      <c r="BW40">
        <v>7108</v>
      </c>
      <c r="BX40">
        <v>7173</v>
      </c>
      <c r="BY40">
        <v>6376</v>
      </c>
      <c r="BZ40">
        <v>12970</v>
      </c>
    </row>
    <row r="41" spans="1:78" x14ac:dyDescent="0.2">
      <c r="A41">
        <v>34</v>
      </c>
      <c r="B41" t="s">
        <v>44</v>
      </c>
      <c r="C41" t="s">
        <v>45</v>
      </c>
      <c r="D41" t="s">
        <v>45</v>
      </c>
      <c r="E41" t="s">
        <v>45</v>
      </c>
      <c r="F41" t="s">
        <v>45</v>
      </c>
      <c r="G41" t="s">
        <v>45</v>
      </c>
      <c r="H41" t="s">
        <v>45</v>
      </c>
      <c r="I41" t="s">
        <v>45</v>
      </c>
      <c r="J41" t="s">
        <v>45</v>
      </c>
      <c r="K41" t="s">
        <v>45</v>
      </c>
      <c r="L41" t="s">
        <v>45</v>
      </c>
      <c r="M41" t="s">
        <v>45</v>
      </c>
      <c r="N41" t="s">
        <v>45</v>
      </c>
      <c r="O41" t="s">
        <v>45</v>
      </c>
      <c r="P41" t="s">
        <v>45</v>
      </c>
      <c r="Q41" t="s">
        <v>45</v>
      </c>
      <c r="R41" t="s">
        <v>45</v>
      </c>
      <c r="S41" t="s">
        <v>45</v>
      </c>
      <c r="T41" t="s">
        <v>45</v>
      </c>
      <c r="U41" t="s">
        <v>45</v>
      </c>
      <c r="V41" t="s">
        <v>45</v>
      </c>
      <c r="W41" t="s">
        <v>45</v>
      </c>
      <c r="X41" t="s">
        <v>45</v>
      </c>
      <c r="Y41" t="s">
        <v>45</v>
      </c>
      <c r="Z41" t="s">
        <v>45</v>
      </c>
      <c r="AA41" t="s">
        <v>45</v>
      </c>
      <c r="AB41" t="s">
        <v>45</v>
      </c>
      <c r="AC41" t="s">
        <v>45</v>
      </c>
      <c r="AD41" t="s">
        <v>45</v>
      </c>
      <c r="AE41" t="s">
        <v>45</v>
      </c>
      <c r="AF41" t="s">
        <v>45</v>
      </c>
      <c r="AG41" t="s">
        <v>45</v>
      </c>
      <c r="AH41" t="s">
        <v>45</v>
      </c>
      <c r="AI41" t="s">
        <v>45</v>
      </c>
      <c r="AJ41" t="s">
        <v>45</v>
      </c>
      <c r="AK41" t="s">
        <v>45</v>
      </c>
      <c r="AL41" t="s">
        <v>45</v>
      </c>
      <c r="AM41" t="s">
        <v>45</v>
      </c>
      <c r="AN41" t="s">
        <v>45</v>
      </c>
      <c r="AO41" t="s">
        <v>45</v>
      </c>
      <c r="AP41" t="s">
        <v>45</v>
      </c>
      <c r="AQ41" t="s">
        <v>45</v>
      </c>
      <c r="AR41" t="s">
        <v>45</v>
      </c>
      <c r="AS41" t="s">
        <v>45</v>
      </c>
      <c r="AT41" t="s">
        <v>45</v>
      </c>
      <c r="AU41" t="s">
        <v>45</v>
      </c>
      <c r="AV41" t="s">
        <v>45</v>
      </c>
      <c r="AW41" t="s">
        <v>45</v>
      </c>
      <c r="AX41" t="s">
        <v>45</v>
      </c>
      <c r="AY41" t="s">
        <v>45</v>
      </c>
      <c r="AZ41" t="s">
        <v>45</v>
      </c>
      <c r="BA41" t="s">
        <v>45</v>
      </c>
      <c r="BB41" t="s">
        <v>45</v>
      </c>
      <c r="BC41" t="s">
        <v>45</v>
      </c>
      <c r="BD41" t="s">
        <v>45</v>
      </c>
      <c r="BE41" t="s">
        <v>45</v>
      </c>
      <c r="BF41" t="s">
        <v>45</v>
      </c>
      <c r="BG41" t="s">
        <v>45</v>
      </c>
      <c r="BH41" t="s">
        <v>45</v>
      </c>
      <c r="BI41" t="s">
        <v>45</v>
      </c>
      <c r="BJ41" t="s">
        <v>45</v>
      </c>
      <c r="BK41" t="s">
        <v>45</v>
      </c>
      <c r="BL41" t="s">
        <v>45</v>
      </c>
      <c r="BM41" t="s">
        <v>45</v>
      </c>
      <c r="BN41" t="s">
        <v>45</v>
      </c>
      <c r="BO41" t="s">
        <v>45</v>
      </c>
      <c r="BP41" t="s">
        <v>45</v>
      </c>
      <c r="BQ41" t="s">
        <v>45</v>
      </c>
      <c r="BR41" t="s">
        <v>45</v>
      </c>
      <c r="BS41" t="s">
        <v>45</v>
      </c>
      <c r="BT41" t="s">
        <v>45</v>
      </c>
      <c r="BU41" t="s">
        <v>45</v>
      </c>
      <c r="BV41" t="s">
        <v>45</v>
      </c>
      <c r="BW41" t="s">
        <v>45</v>
      </c>
      <c r="BX41" t="s">
        <v>45</v>
      </c>
      <c r="BY41" t="s">
        <v>45</v>
      </c>
      <c r="BZ41" t="s">
        <v>45</v>
      </c>
    </row>
    <row r="42" spans="1:78" x14ac:dyDescent="0.2">
      <c r="A42">
        <v>35</v>
      </c>
      <c r="B42" t="s">
        <v>46</v>
      </c>
      <c r="C42">
        <v>3975</v>
      </c>
      <c r="D42">
        <v>4213</v>
      </c>
      <c r="E42">
        <v>4217</v>
      </c>
      <c r="F42">
        <v>4425</v>
      </c>
      <c r="G42">
        <v>4526</v>
      </c>
      <c r="H42">
        <v>4625</v>
      </c>
      <c r="I42">
        <v>4907</v>
      </c>
      <c r="J42">
        <v>5093</v>
      </c>
      <c r="K42">
        <v>5572</v>
      </c>
      <c r="L42">
        <v>6678</v>
      </c>
      <c r="M42">
        <v>7301</v>
      </c>
      <c r="N42">
        <v>8150</v>
      </c>
      <c r="O42">
        <v>7792</v>
      </c>
      <c r="P42">
        <v>8253</v>
      </c>
      <c r="Q42">
        <v>5285</v>
      </c>
      <c r="R42">
        <v>5181</v>
      </c>
      <c r="S42">
        <v>4929</v>
      </c>
      <c r="T42">
        <v>4532</v>
      </c>
      <c r="U42">
        <v>5006</v>
      </c>
      <c r="V42">
        <v>4934</v>
      </c>
      <c r="W42">
        <v>5271</v>
      </c>
      <c r="X42">
        <v>5389</v>
      </c>
      <c r="Y42">
        <v>5010</v>
      </c>
      <c r="Z42">
        <v>0</v>
      </c>
      <c r="AA42">
        <v>4992</v>
      </c>
      <c r="AB42">
        <v>4842</v>
      </c>
      <c r="AC42">
        <v>1543</v>
      </c>
      <c r="AD42">
        <v>1318</v>
      </c>
      <c r="AE42">
        <v>2183</v>
      </c>
      <c r="AF42">
        <v>3838</v>
      </c>
      <c r="AG42">
        <v>4467</v>
      </c>
      <c r="AH42">
        <v>5099</v>
      </c>
      <c r="AI42">
        <v>5222</v>
      </c>
      <c r="AJ42">
        <v>1405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4235</v>
      </c>
      <c r="BZ42">
        <v>0</v>
      </c>
    </row>
    <row r="43" spans="1:78" x14ac:dyDescent="0.2">
      <c r="A43">
        <v>36</v>
      </c>
      <c r="B43" t="s">
        <v>47</v>
      </c>
      <c r="C43">
        <v>16122685</v>
      </c>
      <c r="D43">
        <v>16485106</v>
      </c>
      <c r="E43">
        <v>17281746</v>
      </c>
      <c r="F43">
        <v>18218331</v>
      </c>
      <c r="G43">
        <v>18960701</v>
      </c>
      <c r="H43">
        <v>20262313</v>
      </c>
      <c r="I43">
        <v>20913533</v>
      </c>
      <c r="J43">
        <v>21983996</v>
      </c>
      <c r="K43">
        <v>23736139</v>
      </c>
      <c r="L43">
        <v>22848492</v>
      </c>
      <c r="M43">
        <v>21741288</v>
      </c>
      <c r="N43">
        <v>23418718</v>
      </c>
      <c r="O43">
        <v>22004103</v>
      </c>
      <c r="P43">
        <v>21132222</v>
      </c>
      <c r="Q43">
        <v>22403110</v>
      </c>
      <c r="R43">
        <v>22054085</v>
      </c>
      <c r="S43">
        <v>22522705</v>
      </c>
      <c r="T43">
        <v>22978071</v>
      </c>
      <c r="U43">
        <v>24713638</v>
      </c>
      <c r="V43">
        <v>24279619</v>
      </c>
      <c r="W43">
        <v>24788304</v>
      </c>
      <c r="X43">
        <v>25233740</v>
      </c>
      <c r="Y43">
        <v>26435151</v>
      </c>
      <c r="Z43">
        <v>26664258</v>
      </c>
      <c r="AA43">
        <v>26822016</v>
      </c>
      <c r="AB43">
        <v>26767319</v>
      </c>
      <c r="AC43">
        <v>27313305</v>
      </c>
      <c r="AD43">
        <v>27080174</v>
      </c>
      <c r="AE43">
        <v>27767917</v>
      </c>
      <c r="AF43">
        <v>27470984</v>
      </c>
      <c r="AG43">
        <v>27978365</v>
      </c>
      <c r="AH43">
        <v>29513421</v>
      </c>
      <c r="AI43">
        <v>29641727</v>
      </c>
      <c r="AJ43">
        <v>30548680</v>
      </c>
      <c r="AK43">
        <v>30877211</v>
      </c>
      <c r="AL43">
        <v>31828304</v>
      </c>
      <c r="AM43">
        <v>32517930</v>
      </c>
      <c r="AN43">
        <v>31562682</v>
      </c>
      <c r="AO43">
        <v>30881198</v>
      </c>
      <c r="AP43">
        <v>30892217</v>
      </c>
      <c r="AQ43">
        <v>31914696</v>
      </c>
      <c r="AR43">
        <v>32836299</v>
      </c>
      <c r="AS43">
        <v>32872184</v>
      </c>
      <c r="AT43">
        <v>32160757</v>
      </c>
      <c r="AU43">
        <v>32997277</v>
      </c>
      <c r="AV43">
        <v>33859632</v>
      </c>
      <c r="AW43">
        <v>34660204</v>
      </c>
      <c r="AX43">
        <v>35412791</v>
      </c>
      <c r="AY43">
        <v>35444253</v>
      </c>
      <c r="AZ43">
        <v>35846697</v>
      </c>
      <c r="BA43">
        <v>36729522</v>
      </c>
      <c r="BB43">
        <v>34902578</v>
      </c>
      <c r="BC43">
        <v>37025938</v>
      </c>
      <c r="BD43">
        <v>38297960</v>
      </c>
      <c r="BE43">
        <v>39313952</v>
      </c>
      <c r="BF43">
        <v>40511618</v>
      </c>
      <c r="BG43">
        <v>39316239</v>
      </c>
      <c r="BH43">
        <v>42146921</v>
      </c>
      <c r="BI43">
        <v>43747053</v>
      </c>
      <c r="BJ43">
        <v>46744160</v>
      </c>
      <c r="BK43">
        <v>47727220</v>
      </c>
      <c r="BL43">
        <v>50230949</v>
      </c>
      <c r="BM43">
        <v>50673028</v>
      </c>
      <c r="BN43">
        <v>53775458</v>
      </c>
      <c r="BO43">
        <v>52278123</v>
      </c>
      <c r="BP43">
        <v>47540616</v>
      </c>
      <c r="BQ43">
        <v>46449421</v>
      </c>
      <c r="BR43">
        <v>47704194</v>
      </c>
      <c r="BS43">
        <v>49473808</v>
      </c>
      <c r="BT43">
        <v>51583212</v>
      </c>
      <c r="BU43">
        <v>50957862</v>
      </c>
      <c r="BV43">
        <v>54252801</v>
      </c>
      <c r="BW43">
        <v>57117662</v>
      </c>
      <c r="BX43">
        <v>58628966</v>
      </c>
      <c r="BY43">
        <v>61811387</v>
      </c>
      <c r="BZ43">
        <v>62117577</v>
      </c>
    </row>
    <row r="44" spans="1:78" x14ac:dyDescent="0.2">
      <c r="A44">
        <v>37</v>
      </c>
      <c r="B44" t="s">
        <v>48</v>
      </c>
      <c r="C44">
        <v>14999185</v>
      </c>
      <c r="D44">
        <v>15256995</v>
      </c>
      <c r="E44">
        <v>16147889</v>
      </c>
      <c r="F44">
        <v>17039172</v>
      </c>
      <c r="G44">
        <v>17762098</v>
      </c>
      <c r="H44">
        <v>18772415</v>
      </c>
      <c r="I44">
        <v>19263877</v>
      </c>
      <c r="J44">
        <v>19496136</v>
      </c>
      <c r="K44">
        <v>19680621</v>
      </c>
      <c r="L44">
        <v>19320437</v>
      </c>
      <c r="M44">
        <v>18603550</v>
      </c>
      <c r="N44">
        <v>17450903</v>
      </c>
      <c r="O44">
        <v>16593811</v>
      </c>
      <c r="P44">
        <v>17239320</v>
      </c>
      <c r="Q44">
        <v>18417718</v>
      </c>
      <c r="R44">
        <v>18690641</v>
      </c>
      <c r="S44">
        <v>19206893</v>
      </c>
      <c r="T44">
        <v>18766971</v>
      </c>
      <c r="U44">
        <v>20034451</v>
      </c>
      <c r="V44">
        <v>20737688</v>
      </c>
      <c r="W44">
        <v>21699199</v>
      </c>
      <c r="X44">
        <v>21858711</v>
      </c>
      <c r="Y44">
        <v>21327461</v>
      </c>
      <c r="Z44">
        <v>22033719</v>
      </c>
      <c r="AA44">
        <v>22948063</v>
      </c>
      <c r="AB44">
        <v>22679088</v>
      </c>
      <c r="AC44">
        <v>23440192</v>
      </c>
      <c r="AD44">
        <v>23518189</v>
      </c>
      <c r="AE44">
        <v>24559565</v>
      </c>
      <c r="AF44">
        <v>24705269</v>
      </c>
      <c r="AG44">
        <v>25264912</v>
      </c>
      <c r="AH44">
        <v>26573878</v>
      </c>
      <c r="AI44">
        <v>27058445</v>
      </c>
      <c r="AJ44">
        <v>27917784</v>
      </c>
      <c r="AK44">
        <v>28171455</v>
      </c>
      <c r="AL44">
        <v>28661528</v>
      </c>
      <c r="AM44">
        <v>29197410</v>
      </c>
      <c r="AN44">
        <v>29118834</v>
      </c>
      <c r="AO44">
        <v>28169153</v>
      </c>
      <c r="AP44">
        <v>28503324</v>
      </c>
      <c r="AQ44">
        <v>28892928</v>
      </c>
      <c r="AR44">
        <v>29577300</v>
      </c>
      <c r="AS44">
        <v>30137484</v>
      </c>
      <c r="AT44">
        <v>29998482</v>
      </c>
      <c r="AU44">
        <v>31082301</v>
      </c>
      <c r="AV44">
        <v>31965344</v>
      </c>
      <c r="AW44">
        <v>32988867</v>
      </c>
      <c r="AX44">
        <v>33889620</v>
      </c>
      <c r="AY44">
        <v>33981718</v>
      </c>
      <c r="AZ44">
        <v>34392034</v>
      </c>
      <c r="BA44">
        <v>35348915</v>
      </c>
      <c r="BB44">
        <v>33495030</v>
      </c>
      <c r="BC44">
        <v>35561454</v>
      </c>
      <c r="BD44">
        <v>36541561</v>
      </c>
      <c r="BE44">
        <v>37266084</v>
      </c>
      <c r="BF44">
        <v>38741367</v>
      </c>
      <c r="BG44">
        <v>36351280</v>
      </c>
      <c r="BH44">
        <v>39418351</v>
      </c>
      <c r="BI44">
        <v>41228832</v>
      </c>
      <c r="BJ44">
        <v>44191510</v>
      </c>
      <c r="BK44">
        <v>45601409</v>
      </c>
      <c r="BL44">
        <v>48169564</v>
      </c>
      <c r="BM44">
        <v>48666910</v>
      </c>
      <c r="BN44">
        <v>51814545</v>
      </c>
      <c r="BO44">
        <v>50088200</v>
      </c>
      <c r="BP44">
        <v>45206374</v>
      </c>
      <c r="BQ44">
        <v>43740881</v>
      </c>
      <c r="BR44">
        <v>45230348</v>
      </c>
      <c r="BS44">
        <v>47323081</v>
      </c>
      <c r="BT44">
        <v>49128026</v>
      </c>
      <c r="BU44">
        <v>48437637</v>
      </c>
      <c r="BV44">
        <v>52044546</v>
      </c>
      <c r="BW44">
        <v>54972405</v>
      </c>
      <c r="BX44">
        <v>56342308</v>
      </c>
      <c r="BY44">
        <v>59250549</v>
      </c>
      <c r="BZ44">
        <v>59833560</v>
      </c>
    </row>
    <row r="45" spans="1:78" x14ac:dyDescent="0.2">
      <c r="A45">
        <v>38</v>
      </c>
      <c r="B45" t="s">
        <v>49</v>
      </c>
      <c r="C45">
        <v>1123500</v>
      </c>
      <c r="D45">
        <v>1228111</v>
      </c>
      <c r="E45">
        <v>1133857</v>
      </c>
      <c r="F45">
        <v>1179159</v>
      </c>
      <c r="G45">
        <v>1198603</v>
      </c>
      <c r="H45">
        <v>1489898</v>
      </c>
      <c r="I45">
        <v>1649656</v>
      </c>
      <c r="J45">
        <v>2487860</v>
      </c>
      <c r="K45">
        <v>4055518</v>
      </c>
      <c r="L45">
        <v>3528055</v>
      </c>
      <c r="M45">
        <v>3137738</v>
      </c>
      <c r="N45">
        <v>5967815</v>
      </c>
      <c r="O45">
        <v>5410292</v>
      </c>
      <c r="P45">
        <v>3892902</v>
      </c>
      <c r="Q45">
        <v>3985392</v>
      </c>
      <c r="R45">
        <v>3363444</v>
      </c>
      <c r="S45">
        <v>3315812</v>
      </c>
      <c r="T45">
        <v>4211100</v>
      </c>
      <c r="U45">
        <v>4679187</v>
      </c>
      <c r="V45">
        <v>3541931</v>
      </c>
      <c r="W45">
        <v>3089105</v>
      </c>
      <c r="X45">
        <v>3375029</v>
      </c>
      <c r="Y45">
        <v>5107690</v>
      </c>
      <c r="Z45">
        <v>4630539</v>
      </c>
      <c r="AA45">
        <v>3873953</v>
      </c>
      <c r="AB45">
        <v>4088231</v>
      </c>
      <c r="AC45">
        <v>3873113</v>
      </c>
      <c r="AD45">
        <v>3561985</v>
      </c>
      <c r="AE45">
        <v>3208352</v>
      </c>
      <c r="AF45">
        <v>2765715</v>
      </c>
      <c r="AG45">
        <v>2713453</v>
      </c>
      <c r="AH45">
        <v>2939543</v>
      </c>
      <c r="AI45">
        <v>2583282</v>
      </c>
      <c r="AJ45">
        <v>2630896</v>
      </c>
      <c r="AK45">
        <v>2705756</v>
      </c>
      <c r="AL45">
        <v>3166776</v>
      </c>
      <c r="AM45">
        <v>3320520</v>
      </c>
      <c r="AN45">
        <v>2443848</v>
      </c>
      <c r="AO45">
        <v>2712045</v>
      </c>
      <c r="AP45">
        <v>2388893</v>
      </c>
      <c r="AQ45">
        <v>3021768</v>
      </c>
      <c r="AR45">
        <v>3258999</v>
      </c>
      <c r="AS45">
        <v>2734700</v>
      </c>
      <c r="AT45">
        <v>2162275</v>
      </c>
      <c r="AU45">
        <v>1914976</v>
      </c>
      <c r="AV45">
        <v>1894288</v>
      </c>
      <c r="AW45">
        <v>1671337</v>
      </c>
      <c r="AX45">
        <v>1523171</v>
      </c>
      <c r="AY45">
        <v>1462535</v>
      </c>
      <c r="AZ45">
        <v>1454663</v>
      </c>
      <c r="BA45">
        <v>1380607</v>
      </c>
      <c r="BB45">
        <v>1407548</v>
      </c>
      <c r="BC45">
        <v>1464484</v>
      </c>
      <c r="BD45">
        <v>1756399</v>
      </c>
      <c r="BE45">
        <v>2047868</v>
      </c>
      <c r="BF45">
        <v>1770251</v>
      </c>
      <c r="BG45">
        <v>2964959</v>
      </c>
      <c r="BH45">
        <v>2728570</v>
      </c>
      <c r="BI45">
        <v>2518221</v>
      </c>
      <c r="BJ45">
        <v>2552650</v>
      </c>
      <c r="BK45">
        <v>2125811</v>
      </c>
      <c r="BL45">
        <v>2061385</v>
      </c>
      <c r="BM45">
        <v>2006118</v>
      </c>
      <c r="BN45">
        <v>1960913</v>
      </c>
      <c r="BO45">
        <v>2189923</v>
      </c>
      <c r="BP45">
        <v>2334242</v>
      </c>
      <c r="BQ45">
        <v>2708540</v>
      </c>
      <c r="BR45">
        <v>2473846</v>
      </c>
      <c r="BS45">
        <v>2150727</v>
      </c>
      <c r="BT45">
        <v>2455186</v>
      </c>
      <c r="BU45">
        <v>2520225</v>
      </c>
      <c r="BV45">
        <v>2208255</v>
      </c>
      <c r="BW45">
        <v>2145257</v>
      </c>
      <c r="BX45">
        <v>2286658</v>
      </c>
      <c r="BY45">
        <v>2560838</v>
      </c>
      <c r="BZ45">
        <v>2284017</v>
      </c>
    </row>
    <row r="46" spans="1:78" x14ac:dyDescent="0.2">
      <c r="B46" t="s">
        <v>15</v>
      </c>
    </row>
    <row r="47" spans="1:78" x14ac:dyDescent="0.2">
      <c r="A47">
        <v>39</v>
      </c>
      <c r="B47" t="s">
        <v>16</v>
      </c>
      <c r="C47">
        <v>3387219</v>
      </c>
      <c r="D47">
        <v>3402912</v>
      </c>
      <c r="E47">
        <v>3571141</v>
      </c>
      <c r="F47">
        <v>3752602</v>
      </c>
      <c r="G47">
        <v>3859621</v>
      </c>
      <c r="H47">
        <v>4100970</v>
      </c>
      <c r="I47">
        <v>4239248</v>
      </c>
      <c r="J47">
        <v>4134239</v>
      </c>
      <c r="K47">
        <v>3917702</v>
      </c>
      <c r="L47">
        <v>3911825</v>
      </c>
      <c r="M47">
        <v>3712136</v>
      </c>
      <c r="N47">
        <v>3091240</v>
      </c>
      <c r="O47">
        <v>2839930</v>
      </c>
      <c r="P47">
        <v>3141287</v>
      </c>
      <c r="Q47">
        <v>3497706</v>
      </c>
      <c r="R47">
        <v>3618630</v>
      </c>
      <c r="S47">
        <v>3769042</v>
      </c>
      <c r="T47">
        <v>3456621</v>
      </c>
      <c r="U47">
        <v>3789895</v>
      </c>
      <c r="V47">
        <v>4099097</v>
      </c>
      <c r="W47">
        <v>4283086</v>
      </c>
      <c r="X47">
        <v>4316300</v>
      </c>
      <c r="Y47">
        <v>3907462</v>
      </c>
      <c r="Z47">
        <v>4199225</v>
      </c>
      <c r="AA47">
        <v>4533429</v>
      </c>
      <c r="AB47">
        <v>4490546</v>
      </c>
      <c r="AC47">
        <v>4686373</v>
      </c>
      <c r="AD47">
        <v>4662434</v>
      </c>
      <c r="AE47">
        <v>5049925</v>
      </c>
      <c r="AF47">
        <v>5181164</v>
      </c>
      <c r="AG47">
        <v>5396959</v>
      </c>
      <c r="AH47">
        <v>5814935</v>
      </c>
      <c r="AI47">
        <v>5776339</v>
      </c>
      <c r="AJ47">
        <v>6022517</v>
      </c>
      <c r="AK47">
        <v>6113129</v>
      </c>
      <c r="AL47">
        <v>6378893</v>
      </c>
      <c r="AM47">
        <v>6641602</v>
      </c>
      <c r="AN47">
        <v>6701131</v>
      </c>
      <c r="AO47">
        <v>6383806</v>
      </c>
      <c r="AP47">
        <v>6729220</v>
      </c>
      <c r="AQ47">
        <v>6826316</v>
      </c>
      <c r="AR47">
        <v>7073356</v>
      </c>
      <c r="AS47">
        <v>7376944</v>
      </c>
      <c r="AT47">
        <v>7510517</v>
      </c>
      <c r="AU47">
        <v>7893281</v>
      </c>
      <c r="AV47">
        <v>8100045</v>
      </c>
      <c r="AW47">
        <v>8411848</v>
      </c>
      <c r="AX47">
        <v>8835252</v>
      </c>
      <c r="AY47">
        <v>8768864</v>
      </c>
      <c r="AZ47">
        <v>8920802</v>
      </c>
      <c r="BA47">
        <v>9519052</v>
      </c>
      <c r="BB47">
        <v>8393517</v>
      </c>
      <c r="BC47">
        <v>9299049</v>
      </c>
      <c r="BD47">
        <v>9650968</v>
      </c>
      <c r="BE47">
        <v>9769223</v>
      </c>
      <c r="BF47">
        <v>10454728</v>
      </c>
      <c r="BG47">
        <v>8674131</v>
      </c>
      <c r="BH47">
        <v>9993769</v>
      </c>
      <c r="BI47">
        <v>10809986</v>
      </c>
      <c r="BJ47">
        <v>11875581</v>
      </c>
      <c r="BK47">
        <v>12484556</v>
      </c>
      <c r="BL47">
        <v>13446608</v>
      </c>
      <c r="BM47">
        <v>13563214</v>
      </c>
      <c r="BN47">
        <v>14865920</v>
      </c>
      <c r="BO47">
        <v>14188536</v>
      </c>
      <c r="BP47">
        <v>12073127</v>
      </c>
      <c r="BQ47">
        <v>11534369</v>
      </c>
      <c r="BR47">
        <v>12235184</v>
      </c>
      <c r="BS47">
        <v>13011408</v>
      </c>
      <c r="BT47">
        <v>13955598</v>
      </c>
      <c r="BU47">
        <v>13485247</v>
      </c>
      <c r="BV47">
        <v>14809094</v>
      </c>
      <c r="BW47">
        <v>16073729</v>
      </c>
      <c r="BX47">
        <v>16694469</v>
      </c>
      <c r="BY47">
        <v>17541617</v>
      </c>
      <c r="BZ47">
        <v>17837242</v>
      </c>
    </row>
    <row r="48" spans="1:78" x14ac:dyDescent="0.2">
      <c r="A48">
        <v>40</v>
      </c>
      <c r="B48" t="s">
        <v>17</v>
      </c>
      <c r="C48">
        <v>2595071</v>
      </c>
      <c r="D48">
        <v>2570765</v>
      </c>
      <c r="E48">
        <v>2718977</v>
      </c>
      <c r="F48">
        <v>2895531</v>
      </c>
      <c r="G48">
        <v>2945578</v>
      </c>
      <c r="H48">
        <v>3159356</v>
      </c>
      <c r="I48">
        <v>3254660</v>
      </c>
      <c r="J48">
        <v>3097513</v>
      </c>
      <c r="K48">
        <v>2843693</v>
      </c>
      <c r="L48">
        <v>2788247</v>
      </c>
      <c r="M48">
        <v>2582770</v>
      </c>
      <c r="N48">
        <v>2000508</v>
      </c>
      <c r="O48">
        <v>1749039</v>
      </c>
      <c r="P48">
        <v>2024467</v>
      </c>
      <c r="Q48">
        <v>2361405</v>
      </c>
      <c r="R48">
        <v>2513901</v>
      </c>
      <c r="S48">
        <v>2645400</v>
      </c>
      <c r="T48">
        <v>2330094</v>
      </c>
      <c r="U48">
        <v>2635958</v>
      </c>
      <c r="V48">
        <v>2927753</v>
      </c>
      <c r="W48">
        <v>3094281</v>
      </c>
      <c r="X48">
        <v>3109545</v>
      </c>
      <c r="Y48">
        <v>2687032</v>
      </c>
      <c r="Z48">
        <v>2968362</v>
      </c>
      <c r="AA48">
        <v>3317666</v>
      </c>
      <c r="AB48">
        <v>3243648</v>
      </c>
      <c r="AC48">
        <v>3431446</v>
      </c>
      <c r="AD48">
        <v>3415843</v>
      </c>
      <c r="AE48">
        <v>3753579</v>
      </c>
      <c r="AF48">
        <v>3849140</v>
      </c>
      <c r="AG48">
        <v>4044256</v>
      </c>
      <c r="AH48">
        <v>4443216</v>
      </c>
      <c r="AI48">
        <v>4389794</v>
      </c>
      <c r="AJ48">
        <v>4621127</v>
      </c>
      <c r="AK48">
        <v>4655714</v>
      </c>
      <c r="AL48">
        <v>4895752</v>
      </c>
      <c r="AM48">
        <v>5077375</v>
      </c>
      <c r="AN48">
        <v>5098151</v>
      </c>
      <c r="AO48">
        <v>4773045</v>
      </c>
      <c r="AP48">
        <v>5110389</v>
      </c>
      <c r="AQ48">
        <v>5208685</v>
      </c>
      <c r="AR48">
        <v>5409046</v>
      </c>
      <c r="AS48">
        <v>5651118</v>
      </c>
      <c r="AT48">
        <v>5823354</v>
      </c>
      <c r="AU48">
        <v>6201924</v>
      </c>
      <c r="AV48">
        <v>6400410</v>
      </c>
      <c r="AW48">
        <v>6689764</v>
      </c>
      <c r="AX48">
        <v>7115858</v>
      </c>
      <c r="AY48">
        <v>7042226</v>
      </c>
      <c r="AZ48">
        <v>7237920</v>
      </c>
      <c r="BA48">
        <v>7807010</v>
      </c>
      <c r="BB48">
        <v>6745536</v>
      </c>
      <c r="BC48">
        <v>7660183</v>
      </c>
      <c r="BD48">
        <v>7974772</v>
      </c>
      <c r="BE48">
        <v>8075327</v>
      </c>
      <c r="BF48">
        <v>8790514</v>
      </c>
      <c r="BG48">
        <v>7018103</v>
      </c>
      <c r="BH48">
        <v>8428289</v>
      </c>
      <c r="BI48">
        <v>9162839</v>
      </c>
      <c r="BJ48">
        <v>10262872</v>
      </c>
      <c r="BK48">
        <v>10865701</v>
      </c>
      <c r="BL48">
        <v>11807304</v>
      </c>
      <c r="BM48">
        <v>11875369</v>
      </c>
      <c r="BN48">
        <v>13163847</v>
      </c>
      <c r="BO48">
        <v>12457231</v>
      </c>
      <c r="BP48">
        <v>10363441</v>
      </c>
      <c r="BQ48">
        <v>9778479</v>
      </c>
      <c r="BR48">
        <v>10466919</v>
      </c>
      <c r="BS48">
        <v>11237929</v>
      </c>
      <c r="BT48">
        <v>12151687</v>
      </c>
      <c r="BU48">
        <v>11680915</v>
      </c>
      <c r="BV48">
        <v>12978946</v>
      </c>
      <c r="BW48">
        <v>14221402</v>
      </c>
      <c r="BX48">
        <v>14769015</v>
      </c>
      <c r="BY48">
        <v>15582513</v>
      </c>
      <c r="BZ48">
        <v>15882864</v>
      </c>
    </row>
    <row r="49" spans="1:78" s="3" customFormat="1" x14ac:dyDescent="0.2">
      <c r="A49" s="3">
        <v>41</v>
      </c>
      <c r="B49" s="3" t="s">
        <v>18</v>
      </c>
      <c r="C49" s="3">
        <v>792148</v>
      </c>
      <c r="D49" s="3">
        <v>832147</v>
      </c>
      <c r="E49" s="3">
        <v>852164</v>
      </c>
      <c r="F49" s="3">
        <v>857071</v>
      </c>
      <c r="G49" s="3">
        <v>914043</v>
      </c>
      <c r="H49" s="3">
        <v>941614</v>
      </c>
      <c r="I49" s="3">
        <v>984588</v>
      </c>
      <c r="J49" s="3">
        <v>1036726</v>
      </c>
      <c r="K49" s="3">
        <v>1074009</v>
      </c>
      <c r="L49" s="3">
        <v>1123578</v>
      </c>
      <c r="M49" s="3">
        <v>1129366</v>
      </c>
      <c r="N49" s="3">
        <v>1090732</v>
      </c>
      <c r="O49" s="3">
        <v>1090891</v>
      </c>
      <c r="P49" s="3">
        <v>1116820</v>
      </c>
      <c r="Q49" s="3">
        <v>1136301</v>
      </c>
      <c r="R49" s="3">
        <v>1104729</v>
      </c>
      <c r="S49" s="3">
        <v>1123642</v>
      </c>
      <c r="T49" s="3">
        <v>1126527</v>
      </c>
      <c r="U49" s="3">
        <v>1153937</v>
      </c>
      <c r="V49" s="3">
        <v>1171344</v>
      </c>
      <c r="W49" s="3">
        <v>1188805</v>
      </c>
      <c r="X49" s="3">
        <v>1206755</v>
      </c>
      <c r="Y49" s="3">
        <v>1220430</v>
      </c>
      <c r="Z49" s="3">
        <v>1230863</v>
      </c>
      <c r="AA49" s="3">
        <v>1215763</v>
      </c>
      <c r="AB49" s="3">
        <v>1246898</v>
      </c>
      <c r="AC49" s="3">
        <v>1254927</v>
      </c>
      <c r="AD49" s="3">
        <v>1246591</v>
      </c>
      <c r="AE49" s="3">
        <v>1296346</v>
      </c>
      <c r="AF49" s="3">
        <v>1332024</v>
      </c>
      <c r="AG49" s="3">
        <v>1352703</v>
      </c>
      <c r="AH49" s="3">
        <v>1371719</v>
      </c>
      <c r="AI49" s="3">
        <v>1386545</v>
      </c>
      <c r="AJ49" s="3">
        <v>1401390</v>
      </c>
      <c r="AK49" s="3">
        <v>1457415</v>
      </c>
      <c r="AL49" s="3">
        <v>1483141</v>
      </c>
      <c r="AM49" s="3">
        <v>1564227</v>
      </c>
      <c r="AN49" s="3">
        <v>1602980</v>
      </c>
      <c r="AO49" s="3">
        <v>1610761</v>
      </c>
      <c r="AP49" s="3">
        <v>1618831</v>
      </c>
      <c r="AQ49" s="3">
        <v>1617631</v>
      </c>
      <c r="AR49" s="3">
        <v>1664310</v>
      </c>
      <c r="AS49" s="3">
        <v>1725826</v>
      </c>
      <c r="AT49" s="3">
        <v>1687163</v>
      </c>
      <c r="AU49" s="3">
        <v>1691357</v>
      </c>
      <c r="AV49" s="3">
        <v>1699635</v>
      </c>
      <c r="AW49" s="3">
        <v>1722084</v>
      </c>
      <c r="AX49" s="3">
        <v>1719394</v>
      </c>
      <c r="AY49" s="3">
        <v>1726638</v>
      </c>
      <c r="AZ49" s="3">
        <v>1682883</v>
      </c>
      <c r="BA49" s="3">
        <v>1712041</v>
      </c>
      <c r="BB49" s="3">
        <v>1647981</v>
      </c>
      <c r="BC49" s="3">
        <v>1638867</v>
      </c>
      <c r="BD49" s="3">
        <v>1676196</v>
      </c>
      <c r="BE49" s="3">
        <v>1693896</v>
      </c>
      <c r="BF49" s="3">
        <v>1664214</v>
      </c>
      <c r="BG49" s="3">
        <v>1656028</v>
      </c>
      <c r="BH49" s="3">
        <v>1565481</v>
      </c>
      <c r="BI49" s="3">
        <v>1647147</v>
      </c>
      <c r="BJ49" s="3">
        <v>1612709</v>
      </c>
      <c r="BK49" s="3">
        <v>1618855</v>
      </c>
      <c r="BL49" s="3">
        <v>1639305</v>
      </c>
      <c r="BM49" s="3">
        <v>1687846</v>
      </c>
      <c r="BN49" s="3">
        <v>1702073</v>
      </c>
      <c r="BO49" s="3">
        <v>1731305</v>
      </c>
      <c r="BP49" s="3">
        <v>1709686</v>
      </c>
      <c r="BQ49" s="3">
        <v>1755890</v>
      </c>
      <c r="BR49" s="3">
        <v>1768264</v>
      </c>
      <c r="BS49" s="3">
        <v>1773479</v>
      </c>
      <c r="BT49" s="3">
        <v>1803911</v>
      </c>
      <c r="BU49" s="3">
        <v>1804331</v>
      </c>
      <c r="BV49" s="3">
        <v>1830148</v>
      </c>
      <c r="BW49" s="3">
        <v>1852327</v>
      </c>
      <c r="BX49" s="3">
        <v>1925455</v>
      </c>
      <c r="BY49" s="3">
        <v>1959104</v>
      </c>
      <c r="BZ49" s="3">
        <v>1954378</v>
      </c>
    </row>
    <row r="50" spans="1:78" s="4" customFormat="1" x14ac:dyDescent="0.2">
      <c r="A50" s="4">
        <v>42</v>
      </c>
      <c r="B50" s="4" t="s">
        <v>19</v>
      </c>
      <c r="C50" s="4">
        <v>7602527</v>
      </c>
      <c r="D50" s="4">
        <v>7791430</v>
      </c>
      <c r="E50" s="4">
        <v>8342232</v>
      </c>
      <c r="F50" s="4">
        <v>8843523</v>
      </c>
      <c r="G50" s="4">
        <v>9271729</v>
      </c>
      <c r="H50" s="4">
        <v>9780484</v>
      </c>
      <c r="I50" s="4">
        <v>10033110</v>
      </c>
      <c r="J50" s="4">
        <v>10326974</v>
      </c>
      <c r="K50" s="4">
        <v>10368656</v>
      </c>
      <c r="L50" s="4">
        <v>10327562</v>
      </c>
      <c r="M50" s="4">
        <v>9878568</v>
      </c>
      <c r="N50" s="4">
        <v>9475873</v>
      </c>
      <c r="O50" s="4">
        <v>9168152</v>
      </c>
      <c r="P50" s="4">
        <v>9633155</v>
      </c>
      <c r="Q50" s="4">
        <v>10251103</v>
      </c>
      <c r="R50" s="4">
        <v>10463234</v>
      </c>
      <c r="S50" s="4">
        <v>10810833</v>
      </c>
      <c r="T50" s="4">
        <v>10684333</v>
      </c>
      <c r="U50" s="4">
        <v>11527670</v>
      </c>
      <c r="V50" s="4">
        <v>11869262</v>
      </c>
      <c r="W50" s="4">
        <v>12215888</v>
      </c>
      <c r="X50" s="4">
        <v>12432716</v>
      </c>
      <c r="Y50" s="4">
        <v>12212692</v>
      </c>
      <c r="Z50" s="4">
        <v>12647243</v>
      </c>
      <c r="AA50" s="4">
        <v>13323328</v>
      </c>
      <c r="AB50" s="4">
        <v>13297524</v>
      </c>
      <c r="AC50" s="4">
        <v>13814026</v>
      </c>
      <c r="AD50" s="4">
        <v>13978865</v>
      </c>
      <c r="AE50" s="4">
        <v>14569596</v>
      </c>
      <c r="AF50" s="4">
        <v>14433052</v>
      </c>
      <c r="AG50" s="4">
        <v>14893588</v>
      </c>
      <c r="AH50" s="4">
        <v>15541251</v>
      </c>
      <c r="AI50" s="4">
        <v>15936280</v>
      </c>
      <c r="AJ50" s="4">
        <v>16421470</v>
      </c>
      <c r="AK50" s="4">
        <v>16568406</v>
      </c>
      <c r="AL50" s="4">
        <v>16921786</v>
      </c>
      <c r="AM50" s="4">
        <v>17135059</v>
      </c>
      <c r="AN50" s="4">
        <v>17163769</v>
      </c>
      <c r="AO50" s="4">
        <v>16512952</v>
      </c>
      <c r="AP50" s="4">
        <v>16645846</v>
      </c>
      <c r="AQ50" s="4">
        <v>16878023</v>
      </c>
      <c r="AR50" s="4">
        <v>17150511</v>
      </c>
      <c r="AS50" s="4">
        <v>17511422</v>
      </c>
      <c r="AT50" s="4">
        <v>17359963</v>
      </c>
      <c r="AU50" s="4">
        <v>17907328</v>
      </c>
      <c r="AV50" s="4">
        <v>18444213</v>
      </c>
      <c r="AW50" s="4">
        <v>19039406</v>
      </c>
      <c r="AX50" s="4">
        <v>19398286</v>
      </c>
      <c r="AY50" s="4">
        <v>19391459</v>
      </c>
      <c r="AZ50" s="4">
        <v>19461236</v>
      </c>
      <c r="BA50" s="4">
        <v>19857455</v>
      </c>
      <c r="BB50" s="4">
        <v>18844156</v>
      </c>
      <c r="BC50" s="4">
        <v>19960715</v>
      </c>
      <c r="BD50" s="4">
        <v>20539339</v>
      </c>
      <c r="BE50" s="4">
        <v>21078447</v>
      </c>
      <c r="BF50" s="4">
        <v>21763567</v>
      </c>
      <c r="BG50" s="4">
        <v>20235331</v>
      </c>
      <c r="BH50" s="4">
        <v>22388466</v>
      </c>
      <c r="BI50" s="4">
        <v>23384522</v>
      </c>
      <c r="BJ50" s="4">
        <v>25171907</v>
      </c>
      <c r="BK50" s="4">
        <v>25801155</v>
      </c>
      <c r="BL50" s="4">
        <v>27240235</v>
      </c>
      <c r="BM50" s="4">
        <v>27318754</v>
      </c>
      <c r="BN50" s="4">
        <v>28971605</v>
      </c>
      <c r="BO50" s="4">
        <v>27671650</v>
      </c>
      <c r="BP50" s="4">
        <v>24958375</v>
      </c>
      <c r="BQ50" s="4">
        <v>23938597</v>
      </c>
      <c r="BR50" s="4">
        <v>24715235</v>
      </c>
      <c r="BS50" s="4">
        <v>25864088</v>
      </c>
      <c r="BT50" s="4">
        <v>26900219</v>
      </c>
      <c r="BU50" s="4">
        <v>26565580</v>
      </c>
      <c r="BV50" s="4">
        <v>28616785</v>
      </c>
      <c r="BW50" s="4">
        <v>30220954</v>
      </c>
      <c r="BX50" s="4">
        <v>30903976</v>
      </c>
      <c r="BY50" s="4">
        <v>32729275</v>
      </c>
      <c r="BZ50" s="4">
        <v>33086868</v>
      </c>
    </row>
    <row r="51" spans="1:78" x14ac:dyDescent="0.2">
      <c r="A51">
        <v>43</v>
      </c>
      <c r="B51" t="s">
        <v>20</v>
      </c>
      <c r="C51">
        <v>2454992</v>
      </c>
      <c r="D51">
        <v>2431169</v>
      </c>
      <c r="E51">
        <v>2599784</v>
      </c>
      <c r="F51">
        <v>2791893</v>
      </c>
      <c r="G51">
        <v>2848797</v>
      </c>
      <c r="H51">
        <v>3129523</v>
      </c>
      <c r="I51">
        <v>3222228</v>
      </c>
      <c r="J51">
        <v>3231651</v>
      </c>
      <c r="K51">
        <v>3011024</v>
      </c>
      <c r="L51">
        <v>2969288</v>
      </c>
      <c r="M51">
        <v>2731517</v>
      </c>
      <c r="N51">
        <v>2132433</v>
      </c>
      <c r="O51">
        <v>1904734</v>
      </c>
      <c r="P51">
        <v>2252181</v>
      </c>
      <c r="Q51">
        <v>2688029</v>
      </c>
      <c r="R51">
        <v>2917681</v>
      </c>
      <c r="S51">
        <v>3137639</v>
      </c>
      <c r="T51">
        <v>2814256</v>
      </c>
      <c r="U51">
        <v>3169658</v>
      </c>
      <c r="V51">
        <v>3545769</v>
      </c>
      <c r="W51">
        <v>3793751</v>
      </c>
      <c r="X51">
        <v>3829897</v>
      </c>
      <c r="Y51">
        <v>3366482</v>
      </c>
      <c r="Z51">
        <v>3841901</v>
      </c>
      <c r="AA51">
        <v>4355167</v>
      </c>
      <c r="AB51">
        <v>4261853</v>
      </c>
      <c r="AC51">
        <v>4508580</v>
      </c>
      <c r="AD51">
        <v>4545361</v>
      </c>
      <c r="AE51">
        <v>5000428</v>
      </c>
      <c r="AF51">
        <v>5076822</v>
      </c>
      <c r="AG51">
        <v>5406318</v>
      </c>
      <c r="AH51">
        <v>5864600</v>
      </c>
      <c r="AI51">
        <v>6051072</v>
      </c>
      <c r="AJ51">
        <v>6352073</v>
      </c>
      <c r="AK51">
        <v>6436702</v>
      </c>
      <c r="AL51">
        <v>6642507</v>
      </c>
      <c r="AM51">
        <v>6728462</v>
      </c>
      <c r="AN51">
        <v>6659703</v>
      </c>
      <c r="AO51">
        <v>6094427</v>
      </c>
      <c r="AP51">
        <v>6209080</v>
      </c>
      <c r="AQ51">
        <v>6138131</v>
      </c>
      <c r="AR51">
        <v>6185650</v>
      </c>
      <c r="AS51">
        <v>6489070</v>
      </c>
      <c r="AT51">
        <v>6570218</v>
      </c>
      <c r="AU51">
        <v>7008686</v>
      </c>
      <c r="AV51">
        <v>7190983</v>
      </c>
      <c r="AW51">
        <v>7550790</v>
      </c>
      <c r="AX51">
        <v>7941551</v>
      </c>
      <c r="AY51">
        <v>7980926</v>
      </c>
      <c r="AZ51">
        <v>8144340</v>
      </c>
      <c r="BA51">
        <v>8529094</v>
      </c>
      <c r="BB51">
        <v>7539222</v>
      </c>
      <c r="BC51">
        <v>8264823</v>
      </c>
      <c r="BD51">
        <v>8610341</v>
      </c>
      <c r="BE51">
        <v>8646374</v>
      </c>
      <c r="BF51">
        <v>9296241</v>
      </c>
      <c r="BG51">
        <v>7772135</v>
      </c>
      <c r="BH51">
        <v>9320740</v>
      </c>
      <c r="BI51">
        <v>10235520</v>
      </c>
      <c r="BJ51">
        <v>11834628</v>
      </c>
      <c r="BK51">
        <v>12621887</v>
      </c>
      <c r="BL51">
        <v>13711792</v>
      </c>
      <c r="BM51">
        <v>13775638</v>
      </c>
      <c r="BN51">
        <v>15250615</v>
      </c>
      <c r="BO51">
        <v>14347331</v>
      </c>
      <c r="BP51">
        <v>12185954</v>
      </c>
      <c r="BQ51">
        <v>11532884</v>
      </c>
      <c r="BR51">
        <v>12126970</v>
      </c>
      <c r="BS51">
        <v>12854344</v>
      </c>
      <c r="BT51">
        <v>13724747</v>
      </c>
      <c r="BU51">
        <v>13397628</v>
      </c>
      <c r="BV51">
        <v>14736519</v>
      </c>
      <c r="BW51">
        <v>16122326</v>
      </c>
      <c r="BX51">
        <v>16688579</v>
      </c>
      <c r="BY51">
        <v>17767817</v>
      </c>
      <c r="BZ51">
        <v>18443342</v>
      </c>
    </row>
    <row r="52" spans="1:78" s="3" customFormat="1" x14ac:dyDescent="0.2">
      <c r="A52" s="3">
        <v>44</v>
      </c>
      <c r="B52" s="3" t="s">
        <v>21</v>
      </c>
      <c r="C52" s="3">
        <v>5147535</v>
      </c>
      <c r="D52" s="3">
        <v>5360261</v>
      </c>
      <c r="E52" s="3">
        <v>5742448</v>
      </c>
      <c r="F52" s="3">
        <v>6051630</v>
      </c>
      <c r="G52" s="3">
        <v>6422932</v>
      </c>
      <c r="H52" s="3">
        <v>6650961</v>
      </c>
      <c r="I52" s="3">
        <v>6810882</v>
      </c>
      <c r="J52" s="3">
        <v>7095323</v>
      </c>
      <c r="K52" s="3">
        <v>7357632</v>
      </c>
      <c r="L52" s="3">
        <v>7358274</v>
      </c>
      <c r="M52" s="3">
        <v>7147051</v>
      </c>
      <c r="N52" s="3">
        <v>7343440</v>
      </c>
      <c r="O52" s="3">
        <v>7263418</v>
      </c>
      <c r="P52" s="3">
        <v>7380974</v>
      </c>
      <c r="Q52" s="3">
        <v>7563074</v>
      </c>
      <c r="R52" s="3">
        <v>7545553</v>
      </c>
      <c r="S52" s="3">
        <v>7673194</v>
      </c>
      <c r="T52" s="3">
        <v>7870077</v>
      </c>
      <c r="U52" s="3">
        <v>8358012</v>
      </c>
      <c r="V52" s="3">
        <v>8323493</v>
      </c>
      <c r="W52" s="3">
        <v>8422137</v>
      </c>
      <c r="X52" s="3">
        <v>8602819</v>
      </c>
      <c r="Y52" s="3">
        <v>8846210</v>
      </c>
      <c r="Z52" s="3">
        <v>8805342</v>
      </c>
      <c r="AA52" s="3">
        <v>8968161</v>
      </c>
      <c r="AB52" s="3">
        <v>9035671</v>
      </c>
      <c r="AC52" s="3">
        <v>9305446</v>
      </c>
      <c r="AD52" s="3">
        <v>9433504</v>
      </c>
      <c r="AE52" s="3">
        <v>9569168</v>
      </c>
      <c r="AF52" s="3">
        <v>9356230</v>
      </c>
      <c r="AG52" s="3">
        <v>9487270</v>
      </c>
      <c r="AH52" s="3">
        <v>9676651</v>
      </c>
      <c r="AI52" s="3">
        <v>9885208</v>
      </c>
      <c r="AJ52" s="3">
        <v>10069397</v>
      </c>
      <c r="AK52" s="3">
        <v>10131704</v>
      </c>
      <c r="AL52" s="3">
        <v>10279279</v>
      </c>
      <c r="AM52" s="3">
        <v>10406597</v>
      </c>
      <c r="AN52" s="3">
        <v>10504066</v>
      </c>
      <c r="AO52" s="3">
        <v>10418525</v>
      </c>
      <c r="AP52" s="3">
        <v>10436766</v>
      </c>
      <c r="AQ52" s="3">
        <v>10739892</v>
      </c>
      <c r="AR52" s="3">
        <v>10964861</v>
      </c>
      <c r="AS52" s="3">
        <v>11022352</v>
      </c>
      <c r="AT52" s="3">
        <v>10789745</v>
      </c>
      <c r="AU52" s="3">
        <v>10898642</v>
      </c>
      <c r="AV52" s="3">
        <v>11253230</v>
      </c>
      <c r="AW52" s="3">
        <v>11488616</v>
      </c>
      <c r="AX52" s="3">
        <v>11456735</v>
      </c>
      <c r="AY52" s="3">
        <v>11410533</v>
      </c>
      <c r="AZ52" s="3">
        <v>11316896</v>
      </c>
      <c r="BA52" s="3">
        <v>11328361</v>
      </c>
      <c r="BB52" s="3">
        <v>11304934</v>
      </c>
      <c r="BC52" s="3">
        <v>11695892</v>
      </c>
      <c r="BD52" s="3">
        <v>11928998</v>
      </c>
      <c r="BE52" s="3">
        <v>12432073</v>
      </c>
      <c r="BF52" s="3">
        <v>12467326</v>
      </c>
      <c r="BG52" s="3">
        <v>12463197</v>
      </c>
      <c r="BH52" s="3">
        <v>13067727</v>
      </c>
      <c r="BI52" s="3">
        <v>13149001</v>
      </c>
      <c r="BJ52" s="3">
        <v>13337278</v>
      </c>
      <c r="BK52" s="3">
        <v>13179268</v>
      </c>
      <c r="BL52" s="3">
        <v>13528443</v>
      </c>
      <c r="BM52" s="3">
        <v>13543116</v>
      </c>
      <c r="BN52" s="3">
        <v>13720990</v>
      </c>
      <c r="BO52" s="3">
        <v>13324318</v>
      </c>
      <c r="BP52" s="3">
        <v>12772420</v>
      </c>
      <c r="BQ52" s="3">
        <v>12405712</v>
      </c>
      <c r="BR52" s="3">
        <v>12588264</v>
      </c>
      <c r="BS52" s="3">
        <v>13009743</v>
      </c>
      <c r="BT52" s="3">
        <v>13175472</v>
      </c>
      <c r="BU52" s="3">
        <v>13167952</v>
      </c>
      <c r="BV52" s="3">
        <v>13880266</v>
      </c>
      <c r="BW52" s="3">
        <v>14098628</v>
      </c>
      <c r="BX52" s="3">
        <v>14215397</v>
      </c>
      <c r="BY52" s="3">
        <v>14961458</v>
      </c>
      <c r="BZ52" s="3">
        <v>14643526</v>
      </c>
    </row>
    <row r="53" spans="1:78" x14ac:dyDescent="0.2">
      <c r="A53">
        <v>45</v>
      </c>
      <c r="B53" t="s">
        <v>22</v>
      </c>
      <c r="C53">
        <v>589969</v>
      </c>
      <c r="D53">
        <v>627533</v>
      </c>
      <c r="E53">
        <v>616627</v>
      </c>
      <c r="F53">
        <v>621409</v>
      </c>
      <c r="G53">
        <v>668608</v>
      </c>
      <c r="H53">
        <v>643357</v>
      </c>
      <c r="I53">
        <v>709144</v>
      </c>
      <c r="J53">
        <v>800047</v>
      </c>
      <c r="K53">
        <v>859419</v>
      </c>
      <c r="L53">
        <v>862965</v>
      </c>
      <c r="M53">
        <v>937530</v>
      </c>
      <c r="N53">
        <v>1099788</v>
      </c>
      <c r="O53">
        <v>1169319</v>
      </c>
      <c r="P53">
        <v>1138813</v>
      </c>
      <c r="Q53">
        <v>1107605</v>
      </c>
      <c r="R53">
        <v>977437</v>
      </c>
      <c r="S53">
        <v>940235</v>
      </c>
      <c r="T53">
        <v>946338</v>
      </c>
      <c r="U53">
        <v>971313</v>
      </c>
      <c r="V53">
        <v>919271</v>
      </c>
      <c r="W53">
        <v>886290</v>
      </c>
      <c r="X53">
        <v>871449</v>
      </c>
      <c r="Y53">
        <v>846854</v>
      </c>
      <c r="Z53">
        <v>830725</v>
      </c>
      <c r="AA53">
        <v>816836</v>
      </c>
      <c r="AB53">
        <v>803848</v>
      </c>
      <c r="AC53">
        <v>854202</v>
      </c>
      <c r="AD53">
        <v>844743</v>
      </c>
      <c r="AE53">
        <v>914503</v>
      </c>
      <c r="AF53">
        <v>882452</v>
      </c>
      <c r="AG53">
        <v>829634</v>
      </c>
      <c r="AH53">
        <v>891646</v>
      </c>
      <c r="AI53">
        <v>904573</v>
      </c>
      <c r="AJ53">
        <v>879623</v>
      </c>
      <c r="AK53">
        <v>870397</v>
      </c>
      <c r="AL53">
        <v>911855</v>
      </c>
      <c r="AM53">
        <v>947085</v>
      </c>
      <c r="AN53">
        <v>941523</v>
      </c>
      <c r="AO53">
        <v>889480</v>
      </c>
      <c r="AP53">
        <v>955267</v>
      </c>
      <c r="AQ53">
        <v>948831</v>
      </c>
      <c r="AR53">
        <v>925701</v>
      </c>
      <c r="AS53">
        <v>953501</v>
      </c>
      <c r="AT53">
        <v>941989</v>
      </c>
      <c r="AU53">
        <v>937774</v>
      </c>
      <c r="AV53">
        <v>953472</v>
      </c>
      <c r="AW53">
        <v>934421</v>
      </c>
      <c r="AX53">
        <v>953486</v>
      </c>
      <c r="AY53">
        <v>985776</v>
      </c>
      <c r="AZ53">
        <v>1022385</v>
      </c>
      <c r="BA53">
        <v>968075</v>
      </c>
      <c r="BB53">
        <v>982208</v>
      </c>
      <c r="BC53">
        <v>998915</v>
      </c>
      <c r="BD53">
        <v>926841</v>
      </c>
      <c r="BE53">
        <v>998551</v>
      </c>
      <c r="BF53">
        <v>945052</v>
      </c>
      <c r="BG53">
        <v>925549</v>
      </c>
      <c r="BH53">
        <v>1254095</v>
      </c>
      <c r="BI53">
        <v>1216896</v>
      </c>
      <c r="BJ53">
        <v>1192471</v>
      </c>
      <c r="BK53">
        <v>1135155</v>
      </c>
      <c r="BL53">
        <v>1084712</v>
      </c>
      <c r="BM53">
        <v>1138492</v>
      </c>
      <c r="BN53">
        <v>1192074</v>
      </c>
      <c r="BO53">
        <v>1270165</v>
      </c>
      <c r="BP53">
        <v>1134235</v>
      </c>
      <c r="BQ53">
        <v>1208829</v>
      </c>
      <c r="BR53">
        <v>1254469</v>
      </c>
      <c r="BS53">
        <v>1247947</v>
      </c>
      <c r="BT53">
        <v>1178102</v>
      </c>
      <c r="BU53">
        <v>1286242</v>
      </c>
      <c r="BV53">
        <v>1307341</v>
      </c>
      <c r="BW53">
        <v>1317451</v>
      </c>
      <c r="BX53">
        <v>1303825</v>
      </c>
      <c r="BY53">
        <v>1407177</v>
      </c>
      <c r="BZ53">
        <v>1440214</v>
      </c>
    </row>
    <row r="54" spans="1:78" x14ac:dyDescent="0.2">
      <c r="A54">
        <v>46</v>
      </c>
      <c r="B54" t="s">
        <v>50</v>
      </c>
      <c r="C54">
        <v>283078</v>
      </c>
      <c r="D54">
        <v>253270</v>
      </c>
      <c r="E54">
        <v>244681</v>
      </c>
      <c r="F54">
        <v>253331</v>
      </c>
      <c r="G54">
        <v>279615</v>
      </c>
      <c r="H54">
        <v>228764</v>
      </c>
      <c r="I54">
        <v>262209</v>
      </c>
      <c r="J54">
        <v>302698</v>
      </c>
      <c r="K54">
        <v>355671</v>
      </c>
      <c r="L54">
        <v>376743</v>
      </c>
      <c r="M54">
        <v>504793</v>
      </c>
      <c r="N54">
        <v>758010</v>
      </c>
      <c r="O54">
        <v>858614</v>
      </c>
      <c r="P54">
        <v>856841</v>
      </c>
      <c r="Q54">
        <v>862615</v>
      </c>
      <c r="R54">
        <v>750437</v>
      </c>
      <c r="S54">
        <v>725805</v>
      </c>
      <c r="T54">
        <v>726862</v>
      </c>
      <c r="U54">
        <v>747492</v>
      </c>
      <c r="V54">
        <v>710280</v>
      </c>
      <c r="W54">
        <v>664932</v>
      </c>
      <c r="X54">
        <v>641382</v>
      </c>
      <c r="Y54">
        <v>635127</v>
      </c>
      <c r="Z54">
        <v>647673</v>
      </c>
      <c r="AA54">
        <v>634173</v>
      </c>
      <c r="AB54">
        <v>630097</v>
      </c>
      <c r="AC54">
        <v>679051</v>
      </c>
      <c r="AD54">
        <v>661654</v>
      </c>
      <c r="AE54">
        <v>720235</v>
      </c>
      <c r="AF54">
        <v>675367</v>
      </c>
      <c r="AG54">
        <v>645031</v>
      </c>
      <c r="AH54">
        <v>685527</v>
      </c>
      <c r="AI54">
        <v>689327</v>
      </c>
      <c r="AJ54">
        <v>627612</v>
      </c>
      <c r="AK54">
        <v>614066</v>
      </c>
      <c r="AL54">
        <v>671641</v>
      </c>
      <c r="AM54">
        <v>702290</v>
      </c>
      <c r="AN54">
        <v>701278</v>
      </c>
      <c r="AO54">
        <v>667144</v>
      </c>
      <c r="AP54">
        <v>724731</v>
      </c>
      <c r="AQ54">
        <v>726608</v>
      </c>
      <c r="AR54">
        <v>688156</v>
      </c>
      <c r="AS54">
        <v>698788</v>
      </c>
      <c r="AT54">
        <v>668867</v>
      </c>
      <c r="AU54">
        <v>669184</v>
      </c>
      <c r="AV54">
        <v>673004</v>
      </c>
      <c r="AW54">
        <v>682136</v>
      </c>
      <c r="AX54">
        <v>703141</v>
      </c>
      <c r="AY54">
        <v>717150</v>
      </c>
      <c r="AZ54">
        <v>750747</v>
      </c>
      <c r="BA54">
        <v>715577</v>
      </c>
      <c r="BB54">
        <v>746676</v>
      </c>
      <c r="BC54">
        <v>765441</v>
      </c>
      <c r="BD54">
        <v>707819</v>
      </c>
      <c r="BE54">
        <v>763188</v>
      </c>
      <c r="BF54">
        <v>716057</v>
      </c>
      <c r="BG54">
        <v>729509</v>
      </c>
      <c r="BH54">
        <v>1040649</v>
      </c>
      <c r="BI54">
        <v>1017297</v>
      </c>
      <c r="BJ54">
        <v>1027314</v>
      </c>
      <c r="BK54">
        <v>966499</v>
      </c>
      <c r="BL54">
        <v>926747</v>
      </c>
      <c r="BM54">
        <v>928382</v>
      </c>
      <c r="BN54">
        <v>987410</v>
      </c>
      <c r="BO54">
        <v>1008398</v>
      </c>
      <c r="BP54">
        <v>895437</v>
      </c>
      <c r="BQ54">
        <v>919610</v>
      </c>
      <c r="BR54">
        <v>949988</v>
      </c>
      <c r="BS54">
        <v>962621</v>
      </c>
      <c r="BT54">
        <v>962248</v>
      </c>
      <c r="BU54">
        <v>1060894</v>
      </c>
      <c r="BV54">
        <v>1082660</v>
      </c>
      <c r="BW54">
        <v>1090561</v>
      </c>
      <c r="BX54">
        <v>1074359</v>
      </c>
      <c r="BY54">
        <v>1170827</v>
      </c>
      <c r="BZ54">
        <v>1199566</v>
      </c>
    </row>
    <row r="55" spans="1:78" x14ac:dyDescent="0.2">
      <c r="A55">
        <v>47</v>
      </c>
      <c r="B55" t="s">
        <v>51</v>
      </c>
      <c r="C55">
        <v>306891</v>
      </c>
      <c r="D55">
        <v>374263</v>
      </c>
      <c r="E55">
        <v>371946</v>
      </c>
      <c r="F55">
        <v>368078</v>
      </c>
      <c r="G55">
        <v>388993</v>
      </c>
      <c r="H55">
        <v>414593</v>
      </c>
      <c r="I55">
        <v>446935</v>
      </c>
      <c r="J55">
        <v>497349</v>
      </c>
      <c r="K55">
        <v>503748</v>
      </c>
      <c r="L55">
        <v>486222</v>
      </c>
      <c r="M55">
        <v>432737</v>
      </c>
      <c r="N55">
        <v>341778</v>
      </c>
      <c r="O55">
        <v>310705</v>
      </c>
      <c r="P55">
        <v>281972</v>
      </c>
      <c r="Q55">
        <v>244990</v>
      </c>
      <c r="R55">
        <v>227000</v>
      </c>
      <c r="S55">
        <v>214430</v>
      </c>
      <c r="T55">
        <v>219476</v>
      </c>
      <c r="U55">
        <v>223821</v>
      </c>
      <c r="V55">
        <v>208991</v>
      </c>
      <c r="W55">
        <v>221358</v>
      </c>
      <c r="X55">
        <v>230067</v>
      </c>
      <c r="Y55">
        <v>211727</v>
      </c>
      <c r="Z55">
        <v>183052</v>
      </c>
      <c r="AA55">
        <v>182663</v>
      </c>
      <c r="AB55">
        <v>173751</v>
      </c>
      <c r="AC55">
        <v>175151</v>
      </c>
      <c r="AD55">
        <v>183089</v>
      </c>
      <c r="AE55">
        <v>194268</v>
      </c>
      <c r="AF55">
        <v>207085</v>
      </c>
      <c r="AG55">
        <v>184603</v>
      </c>
      <c r="AH55">
        <v>206119</v>
      </c>
      <c r="AI55">
        <v>215246</v>
      </c>
      <c r="AJ55">
        <v>252011</v>
      </c>
      <c r="AK55">
        <v>256331</v>
      </c>
      <c r="AL55">
        <v>240214</v>
      </c>
      <c r="AM55">
        <v>244795</v>
      </c>
      <c r="AN55">
        <v>240245</v>
      </c>
      <c r="AO55">
        <v>222336</v>
      </c>
      <c r="AP55">
        <v>230536</v>
      </c>
      <c r="AQ55">
        <v>222223</v>
      </c>
      <c r="AR55">
        <v>237545</v>
      </c>
      <c r="AS55">
        <v>254713</v>
      </c>
      <c r="AT55">
        <v>273122</v>
      </c>
      <c r="AU55">
        <v>268590</v>
      </c>
      <c r="AV55">
        <v>280468</v>
      </c>
      <c r="AW55">
        <v>252285</v>
      </c>
      <c r="AX55">
        <v>250345</v>
      </c>
      <c r="AY55">
        <v>268626</v>
      </c>
      <c r="AZ55">
        <v>271638</v>
      </c>
      <c r="BA55">
        <v>252498</v>
      </c>
      <c r="BB55">
        <v>235532</v>
      </c>
      <c r="BC55">
        <v>233474</v>
      </c>
      <c r="BD55">
        <v>219022</v>
      </c>
      <c r="BE55">
        <v>235363</v>
      </c>
      <c r="BF55">
        <v>228995</v>
      </c>
      <c r="BG55">
        <v>196040</v>
      </c>
      <c r="BH55">
        <v>213446</v>
      </c>
      <c r="BI55">
        <v>199599</v>
      </c>
      <c r="BJ55">
        <v>165157</v>
      </c>
      <c r="BK55">
        <v>168656</v>
      </c>
      <c r="BL55">
        <v>157965</v>
      </c>
      <c r="BM55">
        <v>210110</v>
      </c>
      <c r="BN55">
        <v>204664</v>
      </c>
      <c r="BO55">
        <v>261767</v>
      </c>
      <c r="BP55">
        <v>238798</v>
      </c>
      <c r="BQ55">
        <v>289219</v>
      </c>
      <c r="BR55">
        <v>304481</v>
      </c>
      <c r="BS55">
        <v>285326</v>
      </c>
      <c r="BT55">
        <v>215854</v>
      </c>
      <c r="BU55">
        <v>225348</v>
      </c>
      <c r="BV55">
        <v>224681</v>
      </c>
      <c r="BW55">
        <v>226890</v>
      </c>
      <c r="BX55">
        <v>229466</v>
      </c>
      <c r="BY55">
        <v>236350</v>
      </c>
      <c r="BZ55">
        <v>240648</v>
      </c>
    </row>
    <row r="56" spans="1:78" x14ac:dyDescent="0.2">
      <c r="A56">
        <v>48</v>
      </c>
      <c r="B56" t="s">
        <v>23</v>
      </c>
      <c r="C56">
        <v>4557566</v>
      </c>
      <c r="D56">
        <v>4732728</v>
      </c>
      <c r="E56">
        <v>5125821</v>
      </c>
      <c r="F56">
        <v>5430221</v>
      </c>
      <c r="G56">
        <v>5754324</v>
      </c>
      <c r="H56">
        <v>6007604</v>
      </c>
      <c r="I56">
        <v>6101738</v>
      </c>
      <c r="J56">
        <v>6295276</v>
      </c>
      <c r="K56">
        <v>6498213</v>
      </c>
      <c r="L56">
        <v>6495309</v>
      </c>
      <c r="M56">
        <v>6209521</v>
      </c>
      <c r="N56">
        <v>6243652</v>
      </c>
      <c r="O56">
        <v>6094099</v>
      </c>
      <c r="P56">
        <v>6242161</v>
      </c>
      <c r="Q56">
        <v>6455469</v>
      </c>
      <c r="R56">
        <v>6568116</v>
      </c>
      <c r="S56">
        <v>6732959</v>
      </c>
      <c r="T56">
        <v>6923739</v>
      </c>
      <c r="U56">
        <v>7386700</v>
      </c>
      <c r="V56">
        <v>7404223</v>
      </c>
      <c r="W56">
        <v>7535847</v>
      </c>
      <c r="X56">
        <v>7731370</v>
      </c>
      <c r="Y56">
        <v>7999356</v>
      </c>
      <c r="Z56">
        <v>7974617</v>
      </c>
      <c r="AA56">
        <v>8151325</v>
      </c>
      <c r="AB56">
        <v>8231823</v>
      </c>
      <c r="AC56">
        <v>8451244</v>
      </c>
      <c r="AD56">
        <v>8588761</v>
      </c>
      <c r="AE56">
        <v>8654665</v>
      </c>
      <c r="AF56">
        <v>8473778</v>
      </c>
      <c r="AG56">
        <v>8657636</v>
      </c>
      <c r="AH56">
        <v>8785005</v>
      </c>
      <c r="AI56">
        <v>8980635</v>
      </c>
      <c r="AJ56">
        <v>9189774</v>
      </c>
      <c r="AK56">
        <v>9261307</v>
      </c>
      <c r="AL56">
        <v>9367424</v>
      </c>
      <c r="AM56">
        <v>9459512</v>
      </c>
      <c r="AN56">
        <v>9562543</v>
      </c>
      <c r="AO56">
        <v>9529045</v>
      </c>
      <c r="AP56">
        <v>9481499</v>
      </c>
      <c r="AQ56">
        <v>9791061</v>
      </c>
      <c r="AR56">
        <v>10039160</v>
      </c>
      <c r="AS56">
        <v>10068851</v>
      </c>
      <c r="AT56">
        <v>9847756</v>
      </c>
      <c r="AU56">
        <v>9960868</v>
      </c>
      <c r="AV56">
        <v>10299758</v>
      </c>
      <c r="AW56">
        <v>10554195</v>
      </c>
      <c r="AX56">
        <v>10503249</v>
      </c>
      <c r="AY56">
        <v>10424757</v>
      </c>
      <c r="AZ56">
        <v>10294511</v>
      </c>
      <c r="BA56">
        <v>10360286</v>
      </c>
      <c r="BB56">
        <v>10322726</v>
      </c>
      <c r="BC56">
        <v>10696977</v>
      </c>
      <c r="BD56">
        <v>11002157</v>
      </c>
      <c r="BE56">
        <v>11433523</v>
      </c>
      <c r="BF56">
        <v>11522274</v>
      </c>
      <c r="BG56">
        <v>11537648</v>
      </c>
      <c r="BH56">
        <v>11813631</v>
      </c>
      <c r="BI56">
        <v>11932105</v>
      </c>
      <c r="BJ56">
        <v>12144807</v>
      </c>
      <c r="BK56">
        <v>12044113</v>
      </c>
      <c r="BL56">
        <v>12443731</v>
      </c>
      <c r="BM56">
        <v>12404624</v>
      </c>
      <c r="BN56">
        <v>12528916</v>
      </c>
      <c r="BO56">
        <v>12054153</v>
      </c>
      <c r="BP56">
        <v>11638185</v>
      </c>
      <c r="BQ56">
        <v>11196884</v>
      </c>
      <c r="BR56">
        <v>11333795</v>
      </c>
      <c r="BS56">
        <v>11761796</v>
      </c>
      <c r="BT56">
        <v>11997370</v>
      </c>
      <c r="BU56">
        <v>11881710</v>
      </c>
      <c r="BV56">
        <v>12572925</v>
      </c>
      <c r="BW56">
        <v>12781177</v>
      </c>
      <c r="BX56">
        <v>12911571</v>
      </c>
      <c r="BY56">
        <v>13554280</v>
      </c>
      <c r="BZ56">
        <v>13203311</v>
      </c>
    </row>
    <row r="57" spans="1:78" x14ac:dyDescent="0.2">
      <c r="A57">
        <v>49</v>
      </c>
      <c r="B57" t="s">
        <v>52</v>
      </c>
      <c r="C57">
        <v>1711099</v>
      </c>
      <c r="D57">
        <v>1726941</v>
      </c>
      <c r="E57">
        <v>1811861</v>
      </c>
      <c r="F57">
        <v>1872847</v>
      </c>
      <c r="G57">
        <v>1942381</v>
      </c>
      <c r="H57">
        <v>1964881</v>
      </c>
      <c r="I57">
        <v>1986163</v>
      </c>
      <c r="J57">
        <v>2073744</v>
      </c>
      <c r="K57">
        <v>2200862</v>
      </c>
      <c r="L57">
        <v>2210757</v>
      </c>
      <c r="M57">
        <v>2329086</v>
      </c>
      <c r="N57">
        <v>2494964</v>
      </c>
      <c r="O57">
        <v>2559225</v>
      </c>
      <c r="P57">
        <v>2605142</v>
      </c>
      <c r="Q57">
        <v>2723242</v>
      </c>
      <c r="R57">
        <v>2920160</v>
      </c>
      <c r="S57">
        <v>3135897</v>
      </c>
      <c r="T57">
        <v>3342873</v>
      </c>
      <c r="U57">
        <v>3661688</v>
      </c>
      <c r="V57">
        <v>3748544</v>
      </c>
      <c r="W57">
        <v>3875948</v>
      </c>
      <c r="X57">
        <v>4049180</v>
      </c>
      <c r="Y57">
        <v>4339272</v>
      </c>
      <c r="Z57">
        <v>4356681</v>
      </c>
      <c r="AA57">
        <v>4510887</v>
      </c>
      <c r="AB57">
        <v>4680774</v>
      </c>
      <c r="AC57">
        <v>4793665</v>
      </c>
      <c r="AD57">
        <v>4909828</v>
      </c>
      <c r="AE57">
        <v>5001076</v>
      </c>
      <c r="AF57">
        <v>4919650</v>
      </c>
      <c r="AG57">
        <v>5007789</v>
      </c>
      <c r="AH57">
        <v>5107089</v>
      </c>
      <c r="AI57">
        <v>5258984</v>
      </c>
      <c r="AJ57">
        <v>5391081</v>
      </c>
      <c r="AK57">
        <v>5455085</v>
      </c>
      <c r="AL57">
        <v>5486325</v>
      </c>
      <c r="AM57">
        <v>5470341</v>
      </c>
      <c r="AN57">
        <v>5461863</v>
      </c>
      <c r="AO57">
        <v>5438741</v>
      </c>
      <c r="AP57">
        <v>5421490</v>
      </c>
      <c r="AQ57">
        <v>5557826</v>
      </c>
      <c r="AR57">
        <v>5590897</v>
      </c>
      <c r="AS57">
        <v>5457087</v>
      </c>
      <c r="AT57">
        <v>5333930</v>
      </c>
      <c r="AU57">
        <v>5406150</v>
      </c>
      <c r="AV57">
        <v>5478902</v>
      </c>
      <c r="AW57">
        <v>5619803</v>
      </c>
      <c r="AX57">
        <v>5508138</v>
      </c>
      <c r="AY57">
        <v>5506284</v>
      </c>
      <c r="AZ57">
        <v>5474268</v>
      </c>
      <c r="BA57">
        <v>5510319</v>
      </c>
      <c r="BB57">
        <v>5523454</v>
      </c>
      <c r="BC57">
        <v>5708558</v>
      </c>
      <c r="BD57">
        <v>5918041</v>
      </c>
      <c r="BE57">
        <v>6197102</v>
      </c>
      <c r="BF57">
        <v>6201765</v>
      </c>
      <c r="BG57">
        <v>6330389</v>
      </c>
      <c r="BH57">
        <v>6158695</v>
      </c>
      <c r="BI57">
        <v>6235931</v>
      </c>
      <c r="BJ57">
        <v>6264252</v>
      </c>
      <c r="BK57">
        <v>6329421</v>
      </c>
      <c r="BL57">
        <v>6592133</v>
      </c>
      <c r="BM57">
        <v>6642514</v>
      </c>
      <c r="BN57">
        <v>6752960</v>
      </c>
      <c r="BO57">
        <v>6596002</v>
      </c>
      <c r="BP57">
        <v>6521506</v>
      </c>
      <c r="BQ57">
        <v>6331898</v>
      </c>
      <c r="BR57">
        <v>6344077</v>
      </c>
      <c r="BS57">
        <v>6600505</v>
      </c>
      <c r="BT57">
        <v>6664902</v>
      </c>
      <c r="BU57">
        <v>6549684</v>
      </c>
      <c r="BV57">
        <v>6863849</v>
      </c>
      <c r="BW57">
        <v>7024275</v>
      </c>
      <c r="BX57">
        <v>7136273</v>
      </c>
      <c r="BY57">
        <v>7507658</v>
      </c>
      <c r="BZ57">
        <v>7313291</v>
      </c>
    </row>
    <row r="58" spans="1:78" x14ac:dyDescent="0.2">
      <c r="A58">
        <v>50</v>
      </c>
      <c r="B58" t="s">
        <v>53</v>
      </c>
      <c r="C58">
        <v>2846467</v>
      </c>
      <c r="D58">
        <v>3005787</v>
      </c>
      <c r="E58">
        <v>3313960</v>
      </c>
      <c r="F58">
        <v>3557374</v>
      </c>
      <c r="G58">
        <v>3811943</v>
      </c>
      <c r="H58">
        <v>4042723</v>
      </c>
      <c r="I58">
        <v>4115575</v>
      </c>
      <c r="J58">
        <v>4221532</v>
      </c>
      <c r="K58">
        <v>4297351</v>
      </c>
      <c r="L58">
        <v>4284552</v>
      </c>
      <c r="M58">
        <v>3880435</v>
      </c>
      <c r="N58">
        <v>3748688</v>
      </c>
      <c r="O58">
        <v>3534874</v>
      </c>
      <c r="P58">
        <v>3637019</v>
      </c>
      <c r="Q58">
        <v>3732227</v>
      </c>
      <c r="R58">
        <v>3647956</v>
      </c>
      <c r="S58">
        <v>3597062</v>
      </c>
      <c r="T58">
        <v>3580866</v>
      </c>
      <c r="U58">
        <v>3725011</v>
      </c>
      <c r="V58">
        <v>3655679</v>
      </c>
      <c r="W58">
        <v>3659899</v>
      </c>
      <c r="X58">
        <v>3682190</v>
      </c>
      <c r="Y58">
        <v>3660084</v>
      </c>
      <c r="Z58">
        <v>3617936</v>
      </c>
      <c r="AA58">
        <v>3640438</v>
      </c>
      <c r="AB58">
        <v>3551049</v>
      </c>
      <c r="AC58">
        <v>3657579</v>
      </c>
      <c r="AD58">
        <v>3678933</v>
      </c>
      <c r="AE58">
        <v>3653589</v>
      </c>
      <c r="AF58">
        <v>3554128</v>
      </c>
      <c r="AG58">
        <v>3649847</v>
      </c>
      <c r="AH58">
        <v>3677916</v>
      </c>
      <c r="AI58">
        <v>3721651</v>
      </c>
      <c r="AJ58">
        <v>3798693</v>
      </c>
      <c r="AK58">
        <v>3806222</v>
      </c>
      <c r="AL58">
        <v>3881099</v>
      </c>
      <c r="AM58">
        <v>3989171</v>
      </c>
      <c r="AN58">
        <v>4100680</v>
      </c>
      <c r="AO58">
        <v>4090304</v>
      </c>
      <c r="AP58">
        <v>4060009</v>
      </c>
      <c r="AQ58">
        <v>4233235</v>
      </c>
      <c r="AR58">
        <v>4448263</v>
      </c>
      <c r="AS58">
        <v>4611764</v>
      </c>
      <c r="AT58">
        <v>4513826</v>
      </c>
      <c r="AU58">
        <v>4554718</v>
      </c>
      <c r="AV58">
        <v>4820856</v>
      </c>
      <c r="AW58">
        <v>4934392</v>
      </c>
      <c r="AX58">
        <v>4995111</v>
      </c>
      <c r="AY58">
        <v>4918473</v>
      </c>
      <c r="AZ58">
        <v>4820243</v>
      </c>
      <c r="BA58">
        <v>4849967</v>
      </c>
      <c r="BB58">
        <v>4799272</v>
      </c>
      <c r="BC58">
        <v>4988419</v>
      </c>
      <c r="BD58">
        <v>5084116</v>
      </c>
      <c r="BE58">
        <v>5236421</v>
      </c>
      <c r="BF58">
        <v>5320510</v>
      </c>
      <c r="BG58">
        <v>5207259</v>
      </c>
      <c r="BH58">
        <v>5654936</v>
      </c>
      <c r="BI58">
        <v>5696174</v>
      </c>
      <c r="BJ58">
        <v>5880556</v>
      </c>
      <c r="BK58">
        <v>5714692</v>
      </c>
      <c r="BL58">
        <v>5851598</v>
      </c>
      <c r="BM58">
        <v>5762110</v>
      </c>
      <c r="BN58">
        <v>5775956</v>
      </c>
      <c r="BO58">
        <v>5458151</v>
      </c>
      <c r="BP58">
        <v>5116679</v>
      </c>
      <c r="BQ58">
        <v>4864986</v>
      </c>
      <c r="BR58">
        <v>4989718</v>
      </c>
      <c r="BS58">
        <v>5161291</v>
      </c>
      <c r="BT58">
        <v>5332468</v>
      </c>
      <c r="BU58">
        <v>5332026</v>
      </c>
      <c r="BV58">
        <v>5709076</v>
      </c>
      <c r="BW58">
        <v>5756902</v>
      </c>
      <c r="BX58">
        <v>5775298</v>
      </c>
      <c r="BY58">
        <v>6046622</v>
      </c>
      <c r="BZ58">
        <v>5890020</v>
      </c>
    </row>
    <row r="59" spans="1:78" x14ac:dyDescent="0.2">
      <c r="A59">
        <v>51</v>
      </c>
      <c r="B59" t="s">
        <v>54</v>
      </c>
      <c r="C59">
        <v>1123500</v>
      </c>
      <c r="D59">
        <v>1228111</v>
      </c>
      <c r="E59">
        <v>1133857</v>
      </c>
      <c r="F59">
        <v>1179159</v>
      </c>
      <c r="G59">
        <v>1198603</v>
      </c>
      <c r="H59">
        <v>1489898</v>
      </c>
      <c r="I59">
        <v>1649656</v>
      </c>
      <c r="J59">
        <v>2487860</v>
      </c>
      <c r="K59">
        <v>4055518</v>
      </c>
      <c r="L59">
        <v>3528055</v>
      </c>
      <c r="M59">
        <v>3137738</v>
      </c>
      <c r="N59">
        <v>5967815</v>
      </c>
      <c r="O59">
        <v>5410292</v>
      </c>
      <c r="P59">
        <v>3892902</v>
      </c>
      <c r="Q59">
        <v>3985392</v>
      </c>
      <c r="R59">
        <v>3363444</v>
      </c>
      <c r="S59">
        <v>3315812</v>
      </c>
      <c r="T59">
        <v>4211100</v>
      </c>
      <c r="U59">
        <v>4679187</v>
      </c>
      <c r="V59">
        <v>3541931</v>
      </c>
      <c r="W59">
        <v>3089105</v>
      </c>
      <c r="X59">
        <v>3375029</v>
      </c>
      <c r="Y59">
        <v>5107690</v>
      </c>
      <c r="Z59">
        <v>4630539</v>
      </c>
      <c r="AA59">
        <v>3873953</v>
      </c>
      <c r="AB59">
        <v>4088231</v>
      </c>
      <c r="AC59">
        <v>3873113</v>
      </c>
      <c r="AD59">
        <v>3561985</v>
      </c>
      <c r="AE59">
        <v>3208352</v>
      </c>
      <c r="AF59">
        <v>2765715</v>
      </c>
      <c r="AG59">
        <v>2713453</v>
      </c>
      <c r="AH59">
        <v>2939543</v>
      </c>
      <c r="AI59">
        <v>2583282</v>
      </c>
      <c r="AJ59">
        <v>2630896</v>
      </c>
      <c r="AK59">
        <v>2705756</v>
      </c>
      <c r="AL59">
        <v>3166776</v>
      </c>
      <c r="AM59">
        <v>3320520</v>
      </c>
      <c r="AN59">
        <v>2443848</v>
      </c>
      <c r="AO59">
        <v>2712045</v>
      </c>
      <c r="AP59">
        <v>2388893</v>
      </c>
      <c r="AQ59">
        <v>3021768</v>
      </c>
      <c r="AR59">
        <v>3258999</v>
      </c>
      <c r="AS59">
        <v>2734700</v>
      </c>
      <c r="AT59">
        <v>2162275</v>
      </c>
      <c r="AU59">
        <v>1914976</v>
      </c>
      <c r="AV59">
        <v>1894288</v>
      </c>
      <c r="AW59">
        <v>1671337</v>
      </c>
      <c r="AX59">
        <v>1523171</v>
      </c>
      <c r="AY59">
        <v>1462535</v>
      </c>
      <c r="AZ59">
        <v>1454663</v>
      </c>
      <c r="BA59">
        <v>1380607</v>
      </c>
      <c r="BB59">
        <v>1407548</v>
      </c>
      <c r="BC59">
        <v>1464484</v>
      </c>
      <c r="BD59">
        <v>1756399</v>
      </c>
      <c r="BE59">
        <v>2047868</v>
      </c>
      <c r="BF59">
        <v>1770251</v>
      </c>
      <c r="BG59">
        <v>2964959</v>
      </c>
      <c r="BH59">
        <v>2728570</v>
      </c>
      <c r="BI59">
        <v>2518221</v>
      </c>
      <c r="BJ59">
        <v>2552650</v>
      </c>
      <c r="BK59">
        <v>2125811</v>
      </c>
      <c r="BL59">
        <v>2061385</v>
      </c>
      <c r="BM59">
        <v>2006118</v>
      </c>
      <c r="BN59">
        <v>1960913</v>
      </c>
      <c r="BO59">
        <v>2189923</v>
      </c>
      <c r="BP59">
        <v>2334242</v>
      </c>
      <c r="BQ59">
        <v>2708540</v>
      </c>
      <c r="BR59">
        <v>2473846</v>
      </c>
      <c r="BS59">
        <v>2150727</v>
      </c>
      <c r="BT59">
        <v>2455186</v>
      </c>
      <c r="BU59">
        <v>2520225</v>
      </c>
      <c r="BV59">
        <v>2208255</v>
      </c>
      <c r="BW59">
        <v>2145257</v>
      </c>
      <c r="BX59">
        <v>2286658</v>
      </c>
      <c r="BY59">
        <v>2560838</v>
      </c>
      <c r="BZ59">
        <v>2284017</v>
      </c>
    </row>
    <row r="60" spans="1:78" x14ac:dyDescent="0.2">
      <c r="A60">
        <v>52</v>
      </c>
      <c r="B60" t="s">
        <v>25</v>
      </c>
      <c r="C60">
        <v>1105110</v>
      </c>
      <c r="D60">
        <v>1204780</v>
      </c>
      <c r="E60">
        <v>1114914</v>
      </c>
      <c r="F60">
        <v>1156241</v>
      </c>
      <c r="G60">
        <v>1176646</v>
      </c>
      <c r="H60">
        <v>1462713</v>
      </c>
      <c r="I60">
        <v>1621385</v>
      </c>
      <c r="J60">
        <v>2456093</v>
      </c>
      <c r="K60">
        <v>4015089</v>
      </c>
      <c r="L60">
        <v>3469018</v>
      </c>
      <c r="M60">
        <v>3092038</v>
      </c>
      <c r="N60">
        <v>5904724</v>
      </c>
      <c r="O60">
        <v>5373380</v>
      </c>
      <c r="P60">
        <v>3860291</v>
      </c>
      <c r="Q60">
        <v>3953022</v>
      </c>
      <c r="R60">
        <v>3333846</v>
      </c>
      <c r="S60">
        <v>3273845</v>
      </c>
      <c r="T60">
        <v>4179917</v>
      </c>
      <c r="U60">
        <v>4649244</v>
      </c>
      <c r="V60">
        <v>3512342</v>
      </c>
      <c r="W60">
        <v>3057775</v>
      </c>
      <c r="X60">
        <v>3345915</v>
      </c>
      <c r="Y60">
        <v>5047244</v>
      </c>
      <c r="Z60">
        <v>4581255</v>
      </c>
      <c r="AA60">
        <v>3825528</v>
      </c>
      <c r="AB60">
        <v>4040450</v>
      </c>
      <c r="AC60">
        <v>3831621</v>
      </c>
      <c r="AD60">
        <v>3527668</v>
      </c>
      <c r="AE60">
        <v>3173044</v>
      </c>
      <c r="AF60">
        <v>2717685</v>
      </c>
      <c r="AG60">
        <v>2667187</v>
      </c>
      <c r="AH60">
        <v>2903000</v>
      </c>
      <c r="AI60">
        <v>2550067</v>
      </c>
      <c r="AJ60">
        <v>2597227</v>
      </c>
      <c r="AK60">
        <v>2662125</v>
      </c>
      <c r="AL60">
        <v>3100777</v>
      </c>
      <c r="AM60">
        <v>3254233</v>
      </c>
      <c r="AN60">
        <v>2389195</v>
      </c>
      <c r="AO60">
        <v>2651739</v>
      </c>
      <c r="AP60">
        <v>2345985</v>
      </c>
      <c r="AQ60">
        <v>2972995</v>
      </c>
      <c r="AR60">
        <v>3202389</v>
      </c>
      <c r="AS60">
        <v>2690786</v>
      </c>
      <c r="AT60">
        <v>2121823</v>
      </c>
      <c r="AU60">
        <v>1877648</v>
      </c>
      <c r="AV60">
        <v>1852783</v>
      </c>
      <c r="AW60">
        <v>1630047</v>
      </c>
      <c r="AX60">
        <v>1461027</v>
      </c>
      <c r="AY60">
        <v>1414110</v>
      </c>
      <c r="AZ60">
        <v>1395068</v>
      </c>
      <c r="BA60">
        <v>1324213</v>
      </c>
      <c r="BB60">
        <v>1366244</v>
      </c>
      <c r="BC60">
        <v>1434773</v>
      </c>
      <c r="BD60">
        <v>1718640</v>
      </c>
      <c r="BE60">
        <v>2010084</v>
      </c>
      <c r="BF60">
        <v>1738020</v>
      </c>
      <c r="BG60">
        <v>2877889</v>
      </c>
      <c r="BH60">
        <v>2678633</v>
      </c>
      <c r="BI60">
        <v>2471581</v>
      </c>
      <c r="BJ60">
        <v>2501166</v>
      </c>
      <c r="BK60">
        <v>2069256</v>
      </c>
      <c r="BL60">
        <v>1998578</v>
      </c>
      <c r="BM60">
        <v>1930642</v>
      </c>
      <c r="BN60">
        <v>1895838</v>
      </c>
      <c r="BO60">
        <v>2086584</v>
      </c>
      <c r="BP60">
        <v>2222024</v>
      </c>
      <c r="BQ60">
        <v>2602780</v>
      </c>
      <c r="BR60">
        <v>2402240</v>
      </c>
      <c r="BS60">
        <v>2079132</v>
      </c>
      <c r="BT60">
        <v>2390308</v>
      </c>
      <c r="BU60">
        <v>2459599</v>
      </c>
      <c r="BV60">
        <v>2141621</v>
      </c>
      <c r="BW60">
        <v>2080181</v>
      </c>
      <c r="BX60">
        <v>2227736</v>
      </c>
      <c r="BY60">
        <v>2491472</v>
      </c>
      <c r="BZ60">
        <v>2215199</v>
      </c>
    </row>
    <row r="61" spans="1:78" x14ac:dyDescent="0.2">
      <c r="A61">
        <v>53</v>
      </c>
      <c r="B61" t="s">
        <v>26</v>
      </c>
      <c r="C61">
        <v>796990</v>
      </c>
      <c r="D61">
        <v>859969</v>
      </c>
      <c r="E61">
        <v>766008</v>
      </c>
      <c r="F61">
        <v>749009</v>
      </c>
      <c r="G61">
        <v>760432</v>
      </c>
      <c r="H61">
        <v>969166</v>
      </c>
      <c r="I61">
        <v>901771</v>
      </c>
      <c r="J61">
        <v>1434083</v>
      </c>
      <c r="K61">
        <v>2320674</v>
      </c>
      <c r="L61">
        <v>1781034</v>
      </c>
      <c r="M61">
        <v>1602170</v>
      </c>
      <c r="N61">
        <v>3977190</v>
      </c>
      <c r="O61">
        <v>3638340</v>
      </c>
      <c r="P61">
        <v>2691915</v>
      </c>
      <c r="Q61">
        <v>2980283</v>
      </c>
      <c r="R61">
        <v>2532612</v>
      </c>
      <c r="S61">
        <v>2556552</v>
      </c>
      <c r="T61">
        <v>3380359</v>
      </c>
      <c r="U61">
        <v>3855297</v>
      </c>
      <c r="V61">
        <v>2787529</v>
      </c>
      <c r="W61">
        <v>2351917</v>
      </c>
      <c r="X61">
        <v>2638079</v>
      </c>
      <c r="Y61">
        <v>4095128</v>
      </c>
      <c r="Z61">
        <v>3799720</v>
      </c>
      <c r="AA61">
        <v>3140763</v>
      </c>
      <c r="AB61">
        <v>3360305</v>
      </c>
      <c r="AC61">
        <v>3191914</v>
      </c>
      <c r="AD61">
        <v>2912113</v>
      </c>
      <c r="AE61">
        <v>2563709</v>
      </c>
      <c r="AF61">
        <v>2152279</v>
      </c>
      <c r="AG61">
        <v>2114023</v>
      </c>
      <c r="AH61">
        <v>2319871</v>
      </c>
      <c r="AI61">
        <v>2012091</v>
      </c>
      <c r="AJ61">
        <v>2129941</v>
      </c>
      <c r="AK61">
        <v>2046661</v>
      </c>
      <c r="AL61">
        <v>2433398</v>
      </c>
      <c r="AM61">
        <v>2563247</v>
      </c>
      <c r="AN61">
        <v>1832846</v>
      </c>
      <c r="AO61">
        <v>2076674</v>
      </c>
      <c r="AP61">
        <v>1803153</v>
      </c>
      <c r="AQ61">
        <v>2382751</v>
      </c>
      <c r="AR61">
        <v>2586482</v>
      </c>
      <c r="AS61">
        <v>2223140</v>
      </c>
      <c r="AT61">
        <v>1580491</v>
      </c>
      <c r="AU61">
        <v>1426906</v>
      </c>
      <c r="AV61">
        <v>1371990</v>
      </c>
      <c r="AW61">
        <v>1166557</v>
      </c>
      <c r="AX61">
        <v>1020705</v>
      </c>
      <c r="AY61">
        <v>980862</v>
      </c>
      <c r="AZ61">
        <v>919710</v>
      </c>
      <c r="BA61">
        <v>856259</v>
      </c>
      <c r="BB61">
        <v>893650</v>
      </c>
      <c r="BC61">
        <v>1001590</v>
      </c>
      <c r="BD61">
        <v>1278321</v>
      </c>
      <c r="BE61">
        <v>1547530</v>
      </c>
      <c r="BF61">
        <v>1276262</v>
      </c>
      <c r="BG61">
        <v>2131833</v>
      </c>
      <c r="BH61">
        <v>2171593</v>
      </c>
      <c r="BI61">
        <v>1976530</v>
      </c>
      <c r="BJ61">
        <v>1902475</v>
      </c>
      <c r="BK61">
        <v>1500518</v>
      </c>
      <c r="BL61">
        <v>1473131</v>
      </c>
      <c r="BM61">
        <v>1381380</v>
      </c>
      <c r="BN61">
        <v>1330545</v>
      </c>
      <c r="BO61">
        <v>1409374</v>
      </c>
      <c r="BP61">
        <v>1528407</v>
      </c>
      <c r="BQ61">
        <v>1788242</v>
      </c>
      <c r="BR61">
        <v>1791041</v>
      </c>
      <c r="BS61">
        <v>1588338</v>
      </c>
      <c r="BT61">
        <v>1842130</v>
      </c>
      <c r="BU61">
        <v>1903936</v>
      </c>
      <c r="BV61">
        <v>1568097</v>
      </c>
      <c r="BW61">
        <v>1571902</v>
      </c>
      <c r="BX61">
        <v>1724180</v>
      </c>
      <c r="BY61">
        <v>1902537</v>
      </c>
      <c r="BZ61">
        <v>1514464</v>
      </c>
    </row>
    <row r="62" spans="1:78" x14ac:dyDescent="0.2">
      <c r="A62">
        <v>54</v>
      </c>
      <c r="B62" t="s">
        <v>27</v>
      </c>
      <c r="C62">
        <v>124814</v>
      </c>
      <c r="D62">
        <v>140948</v>
      </c>
      <c r="E62">
        <v>131233</v>
      </c>
      <c r="F62">
        <v>151046</v>
      </c>
      <c r="G62">
        <v>140273</v>
      </c>
      <c r="H62">
        <v>166586</v>
      </c>
      <c r="I62">
        <v>242717</v>
      </c>
      <c r="J62">
        <v>240138</v>
      </c>
      <c r="K62">
        <v>367553</v>
      </c>
      <c r="L62">
        <v>294743</v>
      </c>
      <c r="M62">
        <v>325466</v>
      </c>
      <c r="N62">
        <v>481833</v>
      </c>
      <c r="O62">
        <v>322645</v>
      </c>
      <c r="P62">
        <v>281350</v>
      </c>
      <c r="Q62">
        <v>303038</v>
      </c>
      <c r="R62">
        <v>245230</v>
      </c>
      <c r="S62">
        <v>232597</v>
      </c>
      <c r="T62">
        <v>299236</v>
      </c>
      <c r="U62">
        <v>343410</v>
      </c>
      <c r="V62">
        <v>304088</v>
      </c>
      <c r="W62">
        <v>298571</v>
      </c>
      <c r="X62">
        <v>311986</v>
      </c>
      <c r="Y62">
        <v>424577</v>
      </c>
      <c r="Z62">
        <v>330141</v>
      </c>
      <c r="AA62">
        <v>298390</v>
      </c>
      <c r="AB62">
        <v>289351</v>
      </c>
      <c r="AC62">
        <v>294301</v>
      </c>
      <c r="AD62">
        <v>295181</v>
      </c>
      <c r="AE62">
        <v>300138</v>
      </c>
      <c r="AF62">
        <v>272150</v>
      </c>
      <c r="AG62">
        <v>270744</v>
      </c>
      <c r="AH62">
        <v>306521</v>
      </c>
      <c r="AI62">
        <v>271081</v>
      </c>
      <c r="AJ62">
        <v>216446</v>
      </c>
      <c r="AK62">
        <v>379484</v>
      </c>
      <c r="AL62">
        <v>397168</v>
      </c>
      <c r="AM62">
        <v>447391</v>
      </c>
      <c r="AN62">
        <v>351073</v>
      </c>
      <c r="AO62">
        <v>366655</v>
      </c>
      <c r="AP62">
        <v>347634</v>
      </c>
      <c r="AQ62">
        <v>400352</v>
      </c>
      <c r="AR62">
        <v>431858</v>
      </c>
      <c r="AS62">
        <v>290913</v>
      </c>
      <c r="AT62">
        <v>368529</v>
      </c>
      <c r="AU62">
        <v>280535</v>
      </c>
      <c r="AV62">
        <v>305326</v>
      </c>
      <c r="AW62">
        <v>281738</v>
      </c>
      <c r="AX62">
        <v>268688</v>
      </c>
      <c r="AY62">
        <v>261749</v>
      </c>
      <c r="AZ62">
        <v>316669</v>
      </c>
      <c r="BA62">
        <v>290427</v>
      </c>
      <c r="BB62">
        <v>298960</v>
      </c>
      <c r="BC62">
        <v>276994</v>
      </c>
      <c r="BD62">
        <v>284780</v>
      </c>
      <c r="BE62">
        <v>304845</v>
      </c>
      <c r="BF62">
        <v>296104</v>
      </c>
      <c r="BG62">
        <v>470417</v>
      </c>
      <c r="BH62">
        <v>318119</v>
      </c>
      <c r="BI62">
        <v>290326</v>
      </c>
      <c r="BJ62">
        <v>386278</v>
      </c>
      <c r="BK62">
        <v>340465</v>
      </c>
      <c r="BL62">
        <v>281419</v>
      </c>
      <c r="BM62">
        <v>287247</v>
      </c>
      <c r="BN62">
        <v>303969</v>
      </c>
      <c r="BO62">
        <v>380179</v>
      </c>
      <c r="BP62">
        <v>433008</v>
      </c>
      <c r="BQ62">
        <v>578073</v>
      </c>
      <c r="BR62">
        <v>442484</v>
      </c>
      <c r="BS62">
        <v>318958</v>
      </c>
      <c r="BT62">
        <v>368258</v>
      </c>
      <c r="BU62">
        <v>384275</v>
      </c>
      <c r="BV62">
        <v>386832</v>
      </c>
      <c r="BW62">
        <v>304493</v>
      </c>
      <c r="BX62">
        <v>319032</v>
      </c>
      <c r="BY62">
        <v>366725</v>
      </c>
      <c r="BZ62">
        <v>502617</v>
      </c>
    </row>
    <row r="63" spans="1:78" x14ac:dyDescent="0.2">
      <c r="A63">
        <v>55</v>
      </c>
      <c r="B63" t="s">
        <v>28</v>
      </c>
      <c r="C63">
        <v>183306</v>
      </c>
      <c r="D63">
        <v>203863</v>
      </c>
      <c r="E63">
        <v>217673</v>
      </c>
      <c r="F63">
        <v>256186</v>
      </c>
      <c r="G63">
        <v>275941</v>
      </c>
      <c r="H63">
        <v>326961</v>
      </c>
      <c r="I63">
        <v>476897</v>
      </c>
      <c r="J63">
        <v>781872</v>
      </c>
      <c r="K63">
        <v>1326862</v>
      </c>
      <c r="L63">
        <v>1393241</v>
      </c>
      <c r="M63">
        <v>1164402</v>
      </c>
      <c r="N63">
        <v>1445701</v>
      </c>
      <c r="O63">
        <v>1412395</v>
      </c>
      <c r="P63">
        <v>887026</v>
      </c>
      <c r="Q63">
        <v>669701</v>
      </c>
      <c r="R63">
        <v>556004</v>
      </c>
      <c r="S63">
        <v>484696</v>
      </c>
      <c r="T63">
        <v>500322</v>
      </c>
      <c r="U63">
        <v>450537</v>
      </c>
      <c r="V63">
        <v>420725</v>
      </c>
      <c r="W63">
        <v>407287</v>
      </c>
      <c r="X63">
        <v>395850</v>
      </c>
      <c r="Y63">
        <v>527539</v>
      </c>
      <c r="Z63">
        <v>451394</v>
      </c>
      <c r="AA63">
        <v>386375</v>
      </c>
      <c r="AB63">
        <v>390794</v>
      </c>
      <c r="AC63">
        <v>345406</v>
      </c>
      <c r="AD63">
        <v>320374</v>
      </c>
      <c r="AE63">
        <v>309197</v>
      </c>
      <c r="AF63">
        <v>293256</v>
      </c>
      <c r="AG63">
        <v>282420</v>
      </c>
      <c r="AH63">
        <v>276608</v>
      </c>
      <c r="AI63">
        <v>266895</v>
      </c>
      <c r="AJ63">
        <v>250840</v>
      </c>
      <c r="AK63">
        <v>235980</v>
      </c>
      <c r="AL63">
        <v>270211</v>
      </c>
      <c r="AM63">
        <v>243595</v>
      </c>
      <c r="AN63">
        <v>205276</v>
      </c>
      <c r="AO63">
        <v>208410</v>
      </c>
      <c r="AP63">
        <v>195198</v>
      </c>
      <c r="AQ63">
        <v>189892</v>
      </c>
      <c r="AR63">
        <v>184049</v>
      </c>
      <c r="AS63">
        <v>176733</v>
      </c>
      <c r="AT63">
        <v>172803</v>
      </c>
      <c r="AU63">
        <v>170207</v>
      </c>
      <c r="AV63">
        <v>175467</v>
      </c>
      <c r="AW63">
        <v>181752</v>
      </c>
      <c r="AX63">
        <v>171634</v>
      </c>
      <c r="AY63">
        <v>171499</v>
      </c>
      <c r="AZ63">
        <v>158689</v>
      </c>
      <c r="BA63">
        <v>177527</v>
      </c>
      <c r="BB63">
        <v>173634</v>
      </c>
      <c r="BC63">
        <v>156189</v>
      </c>
      <c r="BD63">
        <v>155539</v>
      </c>
      <c r="BE63">
        <v>157709</v>
      </c>
      <c r="BF63">
        <v>165654</v>
      </c>
      <c r="BG63">
        <v>275639</v>
      </c>
      <c r="BH63">
        <v>188921</v>
      </c>
      <c r="BI63">
        <v>204725</v>
      </c>
      <c r="BJ63">
        <v>212413</v>
      </c>
      <c r="BK63">
        <v>228273</v>
      </c>
      <c r="BL63">
        <v>244028</v>
      </c>
      <c r="BM63">
        <v>262015</v>
      </c>
      <c r="BN63">
        <v>261324</v>
      </c>
      <c r="BO63">
        <v>297031</v>
      </c>
      <c r="BP63">
        <v>260609</v>
      </c>
      <c r="BQ63">
        <v>236465</v>
      </c>
      <c r="BR63">
        <v>168715</v>
      </c>
      <c r="BS63">
        <v>171836</v>
      </c>
      <c r="BT63">
        <v>179920</v>
      </c>
      <c r="BU63">
        <v>171388</v>
      </c>
      <c r="BV63">
        <v>186692</v>
      </c>
      <c r="BW63">
        <v>203786</v>
      </c>
      <c r="BX63">
        <v>184524</v>
      </c>
      <c r="BY63">
        <v>222210</v>
      </c>
      <c r="BZ63">
        <v>198118</v>
      </c>
    </row>
    <row r="64" spans="1:78" x14ac:dyDescent="0.2">
      <c r="A64">
        <v>56</v>
      </c>
      <c r="B64" t="s">
        <v>29</v>
      </c>
      <c r="C64">
        <v>18390</v>
      </c>
      <c r="D64">
        <v>23331</v>
      </c>
      <c r="E64">
        <v>18943</v>
      </c>
      <c r="F64">
        <v>22918</v>
      </c>
      <c r="G64">
        <v>21957</v>
      </c>
      <c r="H64">
        <v>27185</v>
      </c>
      <c r="I64">
        <v>28271</v>
      </c>
      <c r="J64">
        <v>31767</v>
      </c>
      <c r="K64">
        <v>40429</v>
      </c>
      <c r="L64">
        <v>59037</v>
      </c>
      <c r="M64">
        <v>45700</v>
      </c>
      <c r="N64">
        <v>63091</v>
      </c>
      <c r="O64">
        <v>36912</v>
      </c>
      <c r="P64">
        <v>32611</v>
      </c>
      <c r="Q64">
        <v>32370</v>
      </c>
      <c r="R64">
        <v>29598</v>
      </c>
      <c r="S64">
        <v>41967</v>
      </c>
      <c r="T64">
        <v>31183</v>
      </c>
      <c r="U64">
        <v>29943</v>
      </c>
      <c r="V64">
        <v>29589</v>
      </c>
      <c r="W64">
        <v>31330</v>
      </c>
      <c r="X64">
        <v>29114</v>
      </c>
      <c r="Y64">
        <v>60446</v>
      </c>
      <c r="Z64">
        <v>49284</v>
      </c>
      <c r="AA64">
        <v>48425</v>
      </c>
      <c r="AB64">
        <v>47781</v>
      </c>
      <c r="AC64">
        <v>41492</v>
      </c>
      <c r="AD64">
        <v>34317</v>
      </c>
      <c r="AE64">
        <v>35308</v>
      </c>
      <c r="AF64">
        <v>48030</v>
      </c>
      <c r="AG64">
        <v>46266</v>
      </c>
      <c r="AH64">
        <v>36543</v>
      </c>
      <c r="AI64">
        <v>33215</v>
      </c>
      <c r="AJ64">
        <v>33669</v>
      </c>
      <c r="AK64">
        <v>43631</v>
      </c>
      <c r="AL64">
        <v>65999</v>
      </c>
      <c r="AM64">
        <v>66287</v>
      </c>
      <c r="AN64">
        <v>54653</v>
      </c>
      <c r="AO64">
        <v>60306</v>
      </c>
      <c r="AP64">
        <v>42908</v>
      </c>
      <c r="AQ64">
        <v>48773</v>
      </c>
      <c r="AR64">
        <v>56610</v>
      </c>
      <c r="AS64">
        <v>43914</v>
      </c>
      <c r="AT64">
        <v>40452</v>
      </c>
      <c r="AU64">
        <v>37328</v>
      </c>
      <c r="AV64">
        <v>41505</v>
      </c>
      <c r="AW64">
        <v>41290</v>
      </c>
      <c r="AX64">
        <v>62144</v>
      </c>
      <c r="AY64">
        <v>48425</v>
      </c>
      <c r="AZ64">
        <v>59595</v>
      </c>
      <c r="BA64">
        <v>56394</v>
      </c>
      <c r="BB64">
        <v>41304</v>
      </c>
      <c r="BC64">
        <v>29711</v>
      </c>
      <c r="BD64">
        <v>37759</v>
      </c>
      <c r="BE64">
        <v>37784</v>
      </c>
      <c r="BF64">
        <v>32231</v>
      </c>
      <c r="BG64">
        <v>87070</v>
      </c>
      <c r="BH64">
        <v>49937</v>
      </c>
      <c r="BI64">
        <v>46640</v>
      </c>
      <c r="BJ64">
        <v>51484</v>
      </c>
      <c r="BK64">
        <v>56555</v>
      </c>
      <c r="BL64">
        <v>62807</v>
      </c>
      <c r="BM64">
        <v>75476</v>
      </c>
      <c r="BN64">
        <v>65075</v>
      </c>
      <c r="BO64">
        <v>103339</v>
      </c>
      <c r="BP64">
        <v>112218</v>
      </c>
      <c r="BQ64">
        <v>105760</v>
      </c>
      <c r="BR64">
        <v>71606</v>
      </c>
      <c r="BS64">
        <v>71595</v>
      </c>
      <c r="BT64">
        <v>64878</v>
      </c>
      <c r="BU64">
        <v>60626</v>
      </c>
      <c r="BV64">
        <v>66634</v>
      </c>
      <c r="BW64">
        <v>65076</v>
      </c>
      <c r="BX64">
        <v>58922</v>
      </c>
      <c r="BY64">
        <v>69366</v>
      </c>
      <c r="BZ64">
        <v>68818</v>
      </c>
    </row>
    <row r="65" spans="1:78" x14ac:dyDescent="0.2">
      <c r="A65">
        <v>57</v>
      </c>
      <c r="B65" t="s">
        <v>30</v>
      </c>
      <c r="C65">
        <v>4009439</v>
      </c>
      <c r="D65">
        <v>4062653</v>
      </c>
      <c r="E65">
        <v>4234516</v>
      </c>
      <c r="F65">
        <v>4443047</v>
      </c>
      <c r="G65">
        <v>4630748</v>
      </c>
      <c r="H65">
        <v>4890961</v>
      </c>
      <c r="I65">
        <v>4991519</v>
      </c>
      <c r="J65">
        <v>5034923</v>
      </c>
      <c r="K65">
        <v>5394263</v>
      </c>
      <c r="L65">
        <v>5081050</v>
      </c>
      <c r="M65">
        <v>5012846</v>
      </c>
      <c r="N65">
        <v>4883790</v>
      </c>
      <c r="O65">
        <v>4585729</v>
      </c>
      <c r="P65">
        <v>4464878</v>
      </c>
      <c r="Q65">
        <v>4668909</v>
      </c>
      <c r="R65">
        <v>4608777</v>
      </c>
      <c r="S65">
        <v>4627018</v>
      </c>
      <c r="T65">
        <v>4626017</v>
      </c>
      <c r="U65">
        <v>4716886</v>
      </c>
      <c r="V65">
        <v>4769329</v>
      </c>
      <c r="W65">
        <v>5200225</v>
      </c>
      <c r="X65">
        <v>5109695</v>
      </c>
      <c r="Y65">
        <v>5207307</v>
      </c>
      <c r="Z65">
        <v>5187251</v>
      </c>
      <c r="AA65">
        <v>5091306</v>
      </c>
      <c r="AB65">
        <v>4891017</v>
      </c>
      <c r="AC65">
        <v>4939793</v>
      </c>
      <c r="AD65">
        <v>4876890</v>
      </c>
      <c r="AE65">
        <v>4940044</v>
      </c>
      <c r="AF65">
        <v>5091052</v>
      </c>
      <c r="AG65">
        <v>4974365</v>
      </c>
      <c r="AH65">
        <v>5217691</v>
      </c>
      <c r="AI65">
        <v>5345826</v>
      </c>
      <c r="AJ65">
        <v>5473798</v>
      </c>
      <c r="AK65">
        <v>5489920</v>
      </c>
      <c r="AL65">
        <v>5360849</v>
      </c>
      <c r="AM65">
        <v>5420749</v>
      </c>
      <c r="AN65">
        <v>5253935</v>
      </c>
      <c r="AO65">
        <v>5272395</v>
      </c>
      <c r="AP65">
        <v>5128258</v>
      </c>
      <c r="AQ65">
        <v>5188589</v>
      </c>
      <c r="AR65">
        <v>5353433</v>
      </c>
      <c r="AS65">
        <v>5249118</v>
      </c>
      <c r="AT65">
        <v>5128002</v>
      </c>
      <c r="AU65">
        <v>5281692</v>
      </c>
      <c r="AV65">
        <v>5421086</v>
      </c>
      <c r="AW65">
        <v>5537613</v>
      </c>
      <c r="AX65">
        <v>5656082</v>
      </c>
      <c r="AY65">
        <v>5821395</v>
      </c>
      <c r="AZ65">
        <v>6009996</v>
      </c>
      <c r="BA65">
        <v>5972408</v>
      </c>
      <c r="BB65">
        <v>6257357</v>
      </c>
      <c r="BC65">
        <v>6301690</v>
      </c>
      <c r="BD65">
        <v>6351254</v>
      </c>
      <c r="BE65">
        <v>6418414</v>
      </c>
      <c r="BF65">
        <v>6523071</v>
      </c>
      <c r="BG65">
        <v>7441818</v>
      </c>
      <c r="BH65">
        <v>7036115</v>
      </c>
      <c r="BI65">
        <v>7034325</v>
      </c>
      <c r="BJ65">
        <v>7144022</v>
      </c>
      <c r="BK65">
        <v>7315698</v>
      </c>
      <c r="BL65">
        <v>7482720</v>
      </c>
      <c r="BM65">
        <v>7784941</v>
      </c>
      <c r="BN65">
        <v>7977019</v>
      </c>
      <c r="BO65">
        <v>8228015</v>
      </c>
      <c r="BP65">
        <v>8174873</v>
      </c>
      <c r="BQ65">
        <v>8267915</v>
      </c>
      <c r="BR65">
        <v>8279930</v>
      </c>
      <c r="BS65">
        <v>8447585</v>
      </c>
      <c r="BT65">
        <v>8272210</v>
      </c>
      <c r="BU65">
        <v>8386811</v>
      </c>
      <c r="BV65">
        <v>8618667</v>
      </c>
      <c r="BW65">
        <v>8677722</v>
      </c>
      <c r="BX65">
        <v>8743863</v>
      </c>
      <c r="BY65">
        <v>8979657</v>
      </c>
      <c r="BZ65">
        <v>8909450</v>
      </c>
    </row>
    <row r="66" spans="1:78" x14ac:dyDescent="0.2">
      <c r="A66">
        <v>58</v>
      </c>
      <c r="B66" t="s">
        <v>31</v>
      </c>
      <c r="C66" t="s">
        <v>35</v>
      </c>
      <c r="D66" t="s">
        <v>35</v>
      </c>
      <c r="E66" t="s">
        <v>35</v>
      </c>
      <c r="F66" t="s">
        <v>35</v>
      </c>
      <c r="G66" t="s">
        <v>35</v>
      </c>
      <c r="H66" t="s">
        <v>35</v>
      </c>
      <c r="I66" t="s">
        <v>35</v>
      </c>
      <c r="J66" t="s">
        <v>35</v>
      </c>
      <c r="K66" t="s">
        <v>35</v>
      </c>
      <c r="L66" t="s">
        <v>35</v>
      </c>
      <c r="M66" t="s">
        <v>35</v>
      </c>
      <c r="N66" t="s">
        <v>35</v>
      </c>
      <c r="O66" t="s">
        <v>35</v>
      </c>
      <c r="P66" t="s">
        <v>35</v>
      </c>
      <c r="Q66" t="s">
        <v>35</v>
      </c>
      <c r="R66" t="s">
        <v>35</v>
      </c>
      <c r="S66" t="s">
        <v>35</v>
      </c>
      <c r="T66" t="s">
        <v>35</v>
      </c>
      <c r="U66" t="s">
        <v>35</v>
      </c>
      <c r="V66" t="s">
        <v>35</v>
      </c>
      <c r="W66" t="s">
        <v>35</v>
      </c>
      <c r="X66" t="s">
        <v>35</v>
      </c>
      <c r="Y66" t="s">
        <v>35</v>
      </c>
      <c r="Z66" t="s">
        <v>35</v>
      </c>
      <c r="AA66" t="s">
        <v>35</v>
      </c>
      <c r="AB66" t="s">
        <v>35</v>
      </c>
      <c r="AC66" t="s">
        <v>35</v>
      </c>
      <c r="AD66" t="s">
        <v>35</v>
      </c>
      <c r="AE66" t="s">
        <v>35</v>
      </c>
      <c r="AF66" t="s">
        <v>35</v>
      </c>
      <c r="AG66" t="s">
        <v>35</v>
      </c>
      <c r="AH66" t="s">
        <v>35</v>
      </c>
      <c r="AI66" t="s">
        <v>35</v>
      </c>
      <c r="AJ66" t="s">
        <v>35</v>
      </c>
      <c r="AK66" t="s">
        <v>35</v>
      </c>
      <c r="AL66" t="s">
        <v>35</v>
      </c>
      <c r="AM66" t="s">
        <v>35</v>
      </c>
      <c r="AN66" t="s">
        <v>35</v>
      </c>
      <c r="AO66" t="s">
        <v>35</v>
      </c>
      <c r="AP66" t="s">
        <v>35</v>
      </c>
      <c r="AQ66" t="s">
        <v>35</v>
      </c>
      <c r="AR66" t="s">
        <v>35</v>
      </c>
      <c r="AS66" t="s">
        <v>35</v>
      </c>
      <c r="AT66" t="s">
        <v>35</v>
      </c>
      <c r="AU66" t="s">
        <v>35</v>
      </c>
      <c r="AV66" t="s">
        <v>35</v>
      </c>
      <c r="AW66" t="s">
        <v>35</v>
      </c>
      <c r="AX66" t="s">
        <v>35</v>
      </c>
      <c r="AY66" t="s">
        <v>35</v>
      </c>
      <c r="AZ66" t="s">
        <v>35</v>
      </c>
      <c r="BA66" t="s">
        <v>35</v>
      </c>
      <c r="BB66" t="s">
        <v>35</v>
      </c>
      <c r="BC66" t="s">
        <v>35</v>
      </c>
      <c r="BD66" t="s">
        <v>35</v>
      </c>
      <c r="BE66" t="s">
        <v>35</v>
      </c>
      <c r="BF66" t="s">
        <v>35</v>
      </c>
      <c r="BG66" t="s">
        <v>35</v>
      </c>
      <c r="BH66" t="s">
        <v>35</v>
      </c>
      <c r="BI66" t="s">
        <v>35</v>
      </c>
      <c r="BJ66" t="s">
        <v>35</v>
      </c>
      <c r="BK66" t="s">
        <v>35</v>
      </c>
      <c r="BL66" t="s">
        <v>35</v>
      </c>
      <c r="BM66" t="s">
        <v>35</v>
      </c>
      <c r="BN66" t="s">
        <v>35</v>
      </c>
      <c r="BO66" t="s">
        <v>35</v>
      </c>
      <c r="BP66" t="s">
        <v>35</v>
      </c>
      <c r="BQ66" t="s">
        <v>35</v>
      </c>
      <c r="BR66" t="s">
        <v>35</v>
      </c>
      <c r="BS66" t="s">
        <v>35</v>
      </c>
      <c r="BT66" t="s">
        <v>35</v>
      </c>
      <c r="BU66" t="s">
        <v>35</v>
      </c>
      <c r="BV66" t="s">
        <v>35</v>
      </c>
      <c r="BW66" t="s">
        <v>35</v>
      </c>
      <c r="BX66" t="s">
        <v>35</v>
      </c>
      <c r="BY66" t="s">
        <v>35</v>
      </c>
      <c r="BZ66" t="s">
        <v>35</v>
      </c>
    </row>
    <row r="67" spans="1:78" x14ac:dyDescent="0.2">
      <c r="A67">
        <v>59</v>
      </c>
      <c r="B67" t="s">
        <v>32</v>
      </c>
      <c r="C67">
        <v>1561152</v>
      </c>
      <c r="D67">
        <v>1609021</v>
      </c>
      <c r="E67">
        <v>1622382</v>
      </c>
      <c r="F67">
        <v>1764543</v>
      </c>
      <c r="G67">
        <v>1800077</v>
      </c>
      <c r="H67">
        <v>1870955</v>
      </c>
      <c r="I67">
        <v>1927710</v>
      </c>
      <c r="J67">
        <v>2020793</v>
      </c>
      <c r="K67">
        <v>2145946</v>
      </c>
      <c r="L67">
        <v>2060225</v>
      </c>
      <c r="M67">
        <v>2063966</v>
      </c>
      <c r="N67">
        <v>2331692</v>
      </c>
      <c r="O67">
        <v>2180684</v>
      </c>
      <c r="P67">
        <v>2040753</v>
      </c>
      <c r="Q67">
        <v>2151558</v>
      </c>
      <c r="R67">
        <v>2248451</v>
      </c>
      <c r="S67">
        <v>2274774</v>
      </c>
      <c r="T67">
        <v>2289061</v>
      </c>
      <c r="U67">
        <v>2332751</v>
      </c>
      <c r="V67">
        <v>2364754</v>
      </c>
      <c r="W67">
        <v>2553625</v>
      </c>
      <c r="X67">
        <v>2603939</v>
      </c>
      <c r="Y67">
        <v>2821913</v>
      </c>
      <c r="Z67">
        <v>2838712</v>
      </c>
      <c r="AA67">
        <v>2714193</v>
      </c>
      <c r="AB67">
        <v>2529540</v>
      </c>
      <c r="AC67">
        <v>2620937</v>
      </c>
      <c r="AD67">
        <v>2601672</v>
      </c>
      <c r="AE67">
        <v>2598915</v>
      </c>
      <c r="AF67">
        <v>2702247</v>
      </c>
      <c r="AG67">
        <v>2662057</v>
      </c>
      <c r="AH67">
        <v>2674496</v>
      </c>
      <c r="AI67">
        <v>2795385</v>
      </c>
      <c r="AJ67">
        <v>2907099</v>
      </c>
      <c r="AK67">
        <v>2937990</v>
      </c>
      <c r="AL67">
        <v>2891305</v>
      </c>
      <c r="AM67">
        <v>2892594</v>
      </c>
      <c r="AN67">
        <v>2892306</v>
      </c>
      <c r="AO67">
        <v>2892053</v>
      </c>
      <c r="AP67">
        <v>2947074</v>
      </c>
      <c r="AQ67">
        <v>2912445</v>
      </c>
      <c r="AR67">
        <v>3026234</v>
      </c>
      <c r="AS67">
        <v>2969593</v>
      </c>
      <c r="AT67">
        <v>2967332</v>
      </c>
      <c r="AU67">
        <v>3040759</v>
      </c>
      <c r="AV67">
        <v>3177135</v>
      </c>
      <c r="AW67">
        <v>3167414</v>
      </c>
      <c r="AX67">
        <v>3228360</v>
      </c>
      <c r="AY67">
        <v>3246017</v>
      </c>
      <c r="AZ67">
        <v>3189528</v>
      </c>
      <c r="BA67">
        <v>3152777</v>
      </c>
      <c r="BB67">
        <v>3257175</v>
      </c>
      <c r="BC67">
        <v>3230237</v>
      </c>
      <c r="BD67">
        <v>3345543</v>
      </c>
      <c r="BE67">
        <v>3433932</v>
      </c>
      <c r="BF67">
        <v>3474732</v>
      </c>
      <c r="BG67">
        <v>3975407</v>
      </c>
      <c r="BH67">
        <v>3735681</v>
      </c>
      <c r="BI67">
        <v>3736507</v>
      </c>
      <c r="BJ67">
        <v>3819538</v>
      </c>
      <c r="BK67">
        <v>3909815</v>
      </c>
      <c r="BL67">
        <v>3969208</v>
      </c>
      <c r="BM67">
        <v>4157517</v>
      </c>
      <c r="BN67">
        <v>4167322</v>
      </c>
      <c r="BO67">
        <v>4279794</v>
      </c>
      <c r="BP67">
        <v>4274718</v>
      </c>
      <c r="BQ67">
        <v>4293763</v>
      </c>
      <c r="BR67">
        <v>4298566</v>
      </c>
      <c r="BS67">
        <v>4360872</v>
      </c>
      <c r="BT67">
        <v>4321910</v>
      </c>
      <c r="BU67">
        <v>4344538</v>
      </c>
      <c r="BV67">
        <v>4534427</v>
      </c>
      <c r="BW67">
        <v>4496492</v>
      </c>
      <c r="BX67">
        <v>4525169</v>
      </c>
      <c r="BY67">
        <v>4530981</v>
      </c>
      <c r="BZ67">
        <v>4425974</v>
      </c>
    </row>
    <row r="68" spans="1:78" x14ac:dyDescent="0.2">
      <c r="A68">
        <v>60</v>
      </c>
      <c r="B68" t="s">
        <v>33</v>
      </c>
      <c r="C68">
        <v>2383728</v>
      </c>
      <c r="D68">
        <v>2384603</v>
      </c>
      <c r="E68">
        <v>2544182</v>
      </c>
      <c r="F68">
        <v>2611946</v>
      </c>
      <c r="G68">
        <v>2761533</v>
      </c>
      <c r="H68">
        <v>2939639</v>
      </c>
      <c r="I68">
        <v>2978352</v>
      </c>
      <c r="J68">
        <v>2926354</v>
      </c>
      <c r="K68">
        <v>3149250</v>
      </c>
      <c r="L68">
        <v>2915906</v>
      </c>
      <c r="M68">
        <v>2842456</v>
      </c>
      <c r="N68">
        <v>2458056</v>
      </c>
      <c r="O68">
        <v>2312969</v>
      </c>
      <c r="P68">
        <v>2328170</v>
      </c>
      <c r="Q68">
        <v>2364439</v>
      </c>
      <c r="R68">
        <v>2211894</v>
      </c>
      <c r="S68">
        <v>2197232</v>
      </c>
      <c r="T68">
        <v>2177184</v>
      </c>
      <c r="U68">
        <v>2221687</v>
      </c>
      <c r="V68">
        <v>2238430</v>
      </c>
      <c r="W68">
        <v>2476753</v>
      </c>
      <c r="X68">
        <v>2333026</v>
      </c>
      <c r="Y68">
        <v>2201031</v>
      </c>
      <c r="Z68">
        <v>2165106</v>
      </c>
      <c r="AA68">
        <v>2190083</v>
      </c>
      <c r="AB68">
        <v>2173593</v>
      </c>
      <c r="AC68">
        <v>2123077</v>
      </c>
      <c r="AD68">
        <v>2080724</v>
      </c>
      <c r="AE68">
        <v>2144993</v>
      </c>
      <c r="AF68">
        <v>2189512</v>
      </c>
      <c r="AG68">
        <v>2111118</v>
      </c>
      <c r="AH68">
        <v>2344810</v>
      </c>
      <c r="AI68">
        <v>2338946</v>
      </c>
      <c r="AJ68">
        <v>2350821</v>
      </c>
      <c r="AK68">
        <v>2344379</v>
      </c>
      <c r="AL68">
        <v>2263616</v>
      </c>
      <c r="AM68">
        <v>2321086</v>
      </c>
      <c r="AN68">
        <v>2151397</v>
      </c>
      <c r="AO68">
        <v>2167400</v>
      </c>
      <c r="AP68">
        <v>1969747</v>
      </c>
      <c r="AQ68">
        <v>2059947</v>
      </c>
      <c r="AR68">
        <v>2107791</v>
      </c>
      <c r="AS68">
        <v>2063437</v>
      </c>
      <c r="AT68">
        <v>1944943</v>
      </c>
      <c r="AU68">
        <v>2016248</v>
      </c>
      <c r="AV68">
        <v>2018281</v>
      </c>
      <c r="AW68">
        <v>2137755</v>
      </c>
      <c r="AX68">
        <v>2194367</v>
      </c>
      <c r="AY68">
        <v>2330856</v>
      </c>
      <c r="AZ68">
        <v>2573349</v>
      </c>
      <c r="BA68">
        <v>2570658</v>
      </c>
      <c r="BB68">
        <v>2752268</v>
      </c>
      <c r="BC68">
        <v>2816573</v>
      </c>
      <c r="BD68">
        <v>2752658</v>
      </c>
      <c r="BE68">
        <v>2733702</v>
      </c>
      <c r="BF68">
        <v>2793218</v>
      </c>
      <c r="BG68">
        <v>3211558</v>
      </c>
      <c r="BH68">
        <v>3043740</v>
      </c>
      <c r="BI68">
        <v>3038173</v>
      </c>
      <c r="BJ68">
        <v>3057462</v>
      </c>
      <c r="BK68">
        <v>3134860</v>
      </c>
      <c r="BL68">
        <v>3239199</v>
      </c>
      <c r="BM68">
        <v>3239401</v>
      </c>
      <c r="BN68">
        <v>3413167</v>
      </c>
      <c r="BO68">
        <v>3551861</v>
      </c>
      <c r="BP68">
        <v>3503096</v>
      </c>
      <c r="BQ68">
        <v>3578893</v>
      </c>
      <c r="BR68">
        <v>3576589</v>
      </c>
      <c r="BS68">
        <v>3676152</v>
      </c>
      <c r="BT68">
        <v>3537708</v>
      </c>
      <c r="BU68">
        <v>3624444</v>
      </c>
      <c r="BV68">
        <v>3654430</v>
      </c>
      <c r="BW68">
        <v>3732684</v>
      </c>
      <c r="BX68">
        <v>3765213</v>
      </c>
      <c r="BY68">
        <v>3987361</v>
      </c>
      <c r="BZ68">
        <v>4017233</v>
      </c>
    </row>
    <row r="69" spans="1:78" x14ac:dyDescent="0.2">
      <c r="A69">
        <v>61</v>
      </c>
      <c r="B69" t="s">
        <v>34</v>
      </c>
      <c r="C69" t="s">
        <v>35</v>
      </c>
      <c r="D69" t="s">
        <v>35</v>
      </c>
      <c r="E69" t="s">
        <v>35</v>
      </c>
      <c r="F69" t="s">
        <v>35</v>
      </c>
      <c r="G69" t="s">
        <v>35</v>
      </c>
      <c r="H69" t="s">
        <v>35</v>
      </c>
      <c r="I69" t="s">
        <v>35</v>
      </c>
      <c r="J69" t="s">
        <v>35</v>
      </c>
      <c r="K69" t="s">
        <v>35</v>
      </c>
      <c r="L69" t="s">
        <v>35</v>
      </c>
      <c r="M69" t="s">
        <v>35</v>
      </c>
      <c r="N69" t="s">
        <v>35</v>
      </c>
      <c r="O69" t="s">
        <v>35</v>
      </c>
      <c r="P69" t="s">
        <v>35</v>
      </c>
      <c r="Q69" t="s">
        <v>35</v>
      </c>
      <c r="R69" t="s">
        <v>35</v>
      </c>
      <c r="S69" t="s">
        <v>35</v>
      </c>
      <c r="T69" t="s">
        <v>35</v>
      </c>
      <c r="U69" t="s">
        <v>35</v>
      </c>
      <c r="V69" t="s">
        <v>35</v>
      </c>
      <c r="W69" t="s">
        <v>35</v>
      </c>
      <c r="X69" t="s">
        <v>35</v>
      </c>
      <c r="Y69" t="s">
        <v>35</v>
      </c>
      <c r="Z69" t="s">
        <v>35</v>
      </c>
      <c r="AA69" t="s">
        <v>35</v>
      </c>
      <c r="AB69" t="s">
        <v>35</v>
      </c>
      <c r="AC69" t="s">
        <v>35</v>
      </c>
      <c r="AD69" t="s">
        <v>35</v>
      </c>
      <c r="AE69" t="s">
        <v>35</v>
      </c>
      <c r="AF69" t="s">
        <v>35</v>
      </c>
      <c r="AG69" t="s">
        <v>35</v>
      </c>
      <c r="AH69" t="s">
        <v>35</v>
      </c>
      <c r="AI69" t="s">
        <v>35</v>
      </c>
      <c r="AJ69" t="s">
        <v>35</v>
      </c>
      <c r="AK69" t="s">
        <v>35</v>
      </c>
      <c r="AL69" t="s">
        <v>35</v>
      </c>
      <c r="AM69" t="s">
        <v>35</v>
      </c>
      <c r="AN69" t="s">
        <v>35</v>
      </c>
      <c r="AO69" t="s">
        <v>35</v>
      </c>
      <c r="AP69" t="s">
        <v>35</v>
      </c>
      <c r="AQ69" t="s">
        <v>35</v>
      </c>
      <c r="AR69" t="s">
        <v>35</v>
      </c>
      <c r="AS69" t="s">
        <v>35</v>
      </c>
      <c r="AT69" t="s">
        <v>35</v>
      </c>
      <c r="AU69" t="s">
        <v>35</v>
      </c>
      <c r="AV69" t="s">
        <v>35</v>
      </c>
      <c r="AW69" t="s">
        <v>35</v>
      </c>
      <c r="AX69" t="s">
        <v>35</v>
      </c>
      <c r="AY69" t="s">
        <v>35</v>
      </c>
      <c r="AZ69" t="s">
        <v>35</v>
      </c>
      <c r="BA69" t="s">
        <v>35</v>
      </c>
      <c r="BB69" t="s">
        <v>35</v>
      </c>
      <c r="BC69" t="s">
        <v>35</v>
      </c>
      <c r="BD69" t="s">
        <v>35</v>
      </c>
      <c r="BE69" t="s">
        <v>35</v>
      </c>
      <c r="BF69" t="s">
        <v>35</v>
      </c>
      <c r="BG69" t="s">
        <v>35</v>
      </c>
      <c r="BH69" t="s">
        <v>35</v>
      </c>
      <c r="BI69" t="s">
        <v>35</v>
      </c>
      <c r="BJ69" t="s">
        <v>35</v>
      </c>
      <c r="BK69" t="s">
        <v>35</v>
      </c>
      <c r="BL69" t="s">
        <v>35</v>
      </c>
      <c r="BM69" t="s">
        <v>35</v>
      </c>
      <c r="BN69" t="s">
        <v>35</v>
      </c>
      <c r="BO69" t="s">
        <v>35</v>
      </c>
      <c r="BP69" t="s">
        <v>35</v>
      </c>
      <c r="BQ69" t="s">
        <v>35</v>
      </c>
      <c r="BR69" t="s">
        <v>35</v>
      </c>
      <c r="BS69" t="s">
        <v>35</v>
      </c>
      <c r="BT69" t="s">
        <v>35</v>
      </c>
      <c r="BU69" t="s">
        <v>35</v>
      </c>
      <c r="BV69" t="s">
        <v>35</v>
      </c>
      <c r="BW69" t="s">
        <v>35</v>
      </c>
      <c r="BX69" t="s">
        <v>35</v>
      </c>
      <c r="BY69" t="s">
        <v>35</v>
      </c>
      <c r="BZ69" t="s">
        <v>35</v>
      </c>
    </row>
    <row r="70" spans="1:78" x14ac:dyDescent="0.2">
      <c r="A70">
        <v>62</v>
      </c>
      <c r="B70" t="s">
        <v>36</v>
      </c>
      <c r="C70">
        <v>57500</v>
      </c>
      <c r="D70">
        <v>61781</v>
      </c>
      <c r="E70">
        <v>60718</v>
      </c>
      <c r="F70">
        <v>59187</v>
      </c>
      <c r="G70">
        <v>61739</v>
      </c>
      <c r="H70">
        <v>72941</v>
      </c>
      <c r="I70">
        <v>77830</v>
      </c>
      <c r="J70">
        <v>80034</v>
      </c>
      <c r="K70">
        <v>91010</v>
      </c>
      <c r="L70">
        <v>96915</v>
      </c>
      <c r="M70">
        <v>98794</v>
      </c>
      <c r="N70">
        <v>86495</v>
      </c>
      <c r="O70">
        <v>84751</v>
      </c>
      <c r="P70">
        <v>88350</v>
      </c>
      <c r="Q70">
        <v>96959</v>
      </c>
      <c r="R70">
        <v>93068</v>
      </c>
      <c r="S70">
        <v>101394</v>
      </c>
      <c r="T70">
        <v>107544</v>
      </c>
      <c r="U70">
        <v>107490</v>
      </c>
      <c r="V70">
        <v>111758</v>
      </c>
      <c r="W70">
        <v>113854</v>
      </c>
      <c r="X70">
        <v>116209</v>
      </c>
      <c r="Y70">
        <v>129213</v>
      </c>
      <c r="Z70">
        <v>129214</v>
      </c>
      <c r="AA70">
        <v>132323</v>
      </c>
      <c r="AB70">
        <v>134291</v>
      </c>
      <c r="AC70">
        <v>141316</v>
      </c>
      <c r="AD70">
        <v>140217</v>
      </c>
      <c r="AE70">
        <v>143191</v>
      </c>
      <c r="AF70">
        <v>146180</v>
      </c>
      <c r="AG70">
        <v>147013</v>
      </c>
      <c r="AH70">
        <v>143999</v>
      </c>
      <c r="AI70">
        <v>156910</v>
      </c>
      <c r="AJ70">
        <v>161284</v>
      </c>
      <c r="AK70">
        <v>155193</v>
      </c>
      <c r="AL70">
        <v>154763</v>
      </c>
      <c r="AM70">
        <v>158351</v>
      </c>
      <c r="AN70">
        <v>160563</v>
      </c>
      <c r="AO70">
        <v>163369</v>
      </c>
      <c r="AP70">
        <v>162499</v>
      </c>
      <c r="AQ70">
        <v>166444</v>
      </c>
      <c r="AR70">
        <v>170007</v>
      </c>
      <c r="AS70">
        <v>166795</v>
      </c>
      <c r="AT70">
        <v>168251</v>
      </c>
      <c r="AU70">
        <v>176767</v>
      </c>
      <c r="AV70">
        <v>176532</v>
      </c>
      <c r="AW70">
        <v>182533</v>
      </c>
      <c r="AX70">
        <v>183061</v>
      </c>
      <c r="AY70">
        <v>193178</v>
      </c>
      <c r="AZ70">
        <v>197445</v>
      </c>
      <c r="BA70">
        <v>199699</v>
      </c>
      <c r="BB70">
        <v>198797</v>
      </c>
      <c r="BC70">
        <v>205853</v>
      </c>
      <c r="BD70">
        <v>203957</v>
      </c>
      <c r="BE70">
        <v>202633</v>
      </c>
      <c r="BF70">
        <v>206286</v>
      </c>
      <c r="BG70">
        <v>206655</v>
      </c>
      <c r="BH70">
        <v>208110</v>
      </c>
      <c r="BI70">
        <v>209935</v>
      </c>
      <c r="BJ70">
        <v>216158</v>
      </c>
      <c r="BK70">
        <v>220973</v>
      </c>
      <c r="BL70">
        <v>223939</v>
      </c>
      <c r="BM70">
        <v>226197</v>
      </c>
      <c r="BN70">
        <v>235770</v>
      </c>
      <c r="BO70">
        <v>237575</v>
      </c>
      <c r="BP70">
        <v>244548</v>
      </c>
      <c r="BQ70">
        <v>248249</v>
      </c>
      <c r="BR70">
        <v>251912</v>
      </c>
      <c r="BS70">
        <v>256046</v>
      </c>
      <c r="BT70">
        <v>259816</v>
      </c>
      <c r="BU70">
        <v>266788</v>
      </c>
      <c r="BV70">
        <v>275704</v>
      </c>
      <c r="BW70">
        <v>296463</v>
      </c>
      <c r="BX70">
        <v>302398</v>
      </c>
      <c r="BY70">
        <v>305520</v>
      </c>
      <c r="BZ70">
        <v>316448</v>
      </c>
    </row>
    <row r="71" spans="1:78" x14ac:dyDescent="0.2">
      <c r="A71">
        <v>63</v>
      </c>
      <c r="B71" t="s">
        <v>55</v>
      </c>
      <c r="C71">
        <v>7059</v>
      </c>
      <c r="D71">
        <v>7248</v>
      </c>
      <c r="E71">
        <v>7234</v>
      </c>
      <c r="F71">
        <v>7371</v>
      </c>
      <c r="G71">
        <v>7399</v>
      </c>
      <c r="H71">
        <v>7426</v>
      </c>
      <c r="I71">
        <v>7627</v>
      </c>
      <c r="J71">
        <v>7742</v>
      </c>
      <c r="K71">
        <v>8057</v>
      </c>
      <c r="L71">
        <v>8004</v>
      </c>
      <c r="M71">
        <v>7630</v>
      </c>
      <c r="N71">
        <v>7547</v>
      </c>
      <c r="O71">
        <v>7325</v>
      </c>
      <c r="P71">
        <v>7605</v>
      </c>
      <c r="Q71">
        <v>55953</v>
      </c>
      <c r="R71">
        <v>55364</v>
      </c>
      <c r="S71">
        <v>53618</v>
      </c>
      <c r="T71">
        <v>52228</v>
      </c>
      <c r="U71">
        <v>54958</v>
      </c>
      <c r="V71">
        <v>54387</v>
      </c>
      <c r="W71">
        <v>55993</v>
      </c>
      <c r="X71">
        <v>56521</v>
      </c>
      <c r="Y71">
        <v>55150</v>
      </c>
      <c r="Z71">
        <v>54219</v>
      </c>
      <c r="AA71">
        <v>54707</v>
      </c>
      <c r="AB71">
        <v>53593</v>
      </c>
      <c r="AC71">
        <v>54463</v>
      </c>
      <c r="AD71">
        <v>54277</v>
      </c>
      <c r="AE71">
        <v>52945</v>
      </c>
      <c r="AF71">
        <v>53113</v>
      </c>
      <c r="AG71">
        <v>54177</v>
      </c>
      <c r="AH71">
        <v>54386</v>
      </c>
      <c r="AI71">
        <v>54585</v>
      </c>
      <c r="AJ71">
        <v>54594</v>
      </c>
      <c r="AK71">
        <v>52358</v>
      </c>
      <c r="AL71">
        <v>51166</v>
      </c>
      <c r="AM71">
        <v>48718</v>
      </c>
      <c r="AN71">
        <v>49668</v>
      </c>
      <c r="AO71">
        <v>49574</v>
      </c>
      <c r="AP71">
        <v>48938</v>
      </c>
      <c r="AQ71">
        <v>49753</v>
      </c>
      <c r="AR71">
        <v>49401</v>
      </c>
      <c r="AS71">
        <v>49294</v>
      </c>
      <c r="AT71">
        <v>47476</v>
      </c>
      <c r="AU71">
        <v>47918</v>
      </c>
      <c r="AV71">
        <v>49138</v>
      </c>
      <c r="AW71">
        <v>49912</v>
      </c>
      <c r="AX71">
        <v>50294</v>
      </c>
      <c r="AY71">
        <v>51344</v>
      </c>
      <c r="AZ71">
        <v>49674</v>
      </c>
      <c r="BA71">
        <v>49274</v>
      </c>
      <c r="BB71">
        <v>49117</v>
      </c>
      <c r="BC71">
        <v>49027</v>
      </c>
      <c r="BD71">
        <v>49096</v>
      </c>
      <c r="BE71">
        <v>48146</v>
      </c>
      <c r="BF71">
        <v>48835</v>
      </c>
      <c r="BG71">
        <v>48199</v>
      </c>
      <c r="BH71">
        <v>48584</v>
      </c>
      <c r="BI71">
        <v>49709</v>
      </c>
      <c r="BJ71">
        <v>50864</v>
      </c>
      <c r="BK71">
        <v>50050</v>
      </c>
      <c r="BL71">
        <v>50375</v>
      </c>
      <c r="BM71">
        <v>161826</v>
      </c>
      <c r="BN71">
        <v>160760</v>
      </c>
      <c r="BO71">
        <v>158785</v>
      </c>
      <c r="BP71">
        <v>152511</v>
      </c>
      <c r="BQ71">
        <v>147009</v>
      </c>
      <c r="BR71">
        <v>152863</v>
      </c>
      <c r="BS71">
        <v>154516</v>
      </c>
      <c r="BT71">
        <v>152775</v>
      </c>
      <c r="BU71">
        <v>151041</v>
      </c>
      <c r="BV71">
        <v>154107</v>
      </c>
      <c r="BW71">
        <v>152083</v>
      </c>
      <c r="BX71">
        <v>151083</v>
      </c>
      <c r="BY71">
        <v>155795</v>
      </c>
      <c r="BZ71">
        <v>149795</v>
      </c>
    </row>
    <row r="73" spans="1:78" x14ac:dyDescent="0.2">
      <c r="A73" t="s">
        <v>56</v>
      </c>
    </row>
    <row r="74" spans="1:78" x14ac:dyDescent="0.2">
      <c r="A74" t="s">
        <v>57</v>
      </c>
    </row>
    <row r="75" spans="1:78" x14ac:dyDescent="0.2">
      <c r="A75" t="s">
        <v>58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80777A-39AE-524A-A738-7440D5400C7C}">
  <dimension ref="A1:CB103"/>
  <sheetViews>
    <sheetView tabSelected="1" topLeftCell="BE67" workbookViewId="0">
      <selection activeCell="BI72" sqref="BI72"/>
    </sheetView>
  </sheetViews>
  <sheetFormatPr baseColWidth="10" defaultRowHeight="16" x14ac:dyDescent="0.2"/>
  <cols>
    <col min="4" max="4" width="13" bestFit="1" customWidth="1"/>
    <col min="79" max="79" width="14.6640625" bestFit="1" customWidth="1"/>
  </cols>
  <sheetData>
    <row r="1" spans="1:79" x14ac:dyDescent="0.2">
      <c r="A1" t="s">
        <v>0</v>
      </c>
    </row>
    <row r="2" spans="1:79" x14ac:dyDescent="0.2">
      <c r="A2" t="s">
        <v>0</v>
      </c>
    </row>
    <row r="3" spans="1:79" x14ac:dyDescent="0.2">
      <c r="A3" t="s">
        <v>1</v>
      </c>
    </row>
    <row r="4" spans="1:79" x14ac:dyDescent="0.2">
      <c r="A4" t="s">
        <v>2</v>
      </c>
      <c r="B4" t="s">
        <v>3</v>
      </c>
      <c r="D4" t="str">
        <f>Table!C4</f>
        <v>Not seasonally adjusted</v>
      </c>
      <c r="E4" t="str">
        <f>Table!D4</f>
        <v>Not seasonally adjusted</v>
      </c>
      <c r="F4" t="str">
        <f>Table!E4</f>
        <v>Not seasonally adjusted</v>
      </c>
      <c r="G4" t="str">
        <f>Table!F4</f>
        <v>Not seasonally adjusted</v>
      </c>
      <c r="H4" t="str">
        <f>Table!G4</f>
        <v>Not seasonally adjusted</v>
      </c>
      <c r="I4" t="str">
        <f>Table!H4</f>
        <v>Not seasonally adjusted</v>
      </c>
      <c r="J4" t="str">
        <f>Table!I4</f>
        <v>Not seasonally adjusted</v>
      </c>
      <c r="K4" t="str">
        <f>Table!J4</f>
        <v>Not seasonally adjusted</v>
      </c>
      <c r="L4" t="str">
        <f>Table!K4</f>
        <v>Not seasonally adjusted</v>
      </c>
      <c r="M4" t="str">
        <f>Table!L4</f>
        <v>Not seasonally adjusted</v>
      </c>
      <c r="N4" t="str">
        <f>Table!M4</f>
        <v>Not seasonally adjusted</v>
      </c>
      <c r="O4" t="str">
        <f>Table!N4</f>
        <v>Not seasonally adjusted</v>
      </c>
      <c r="P4" t="str">
        <f>Table!O4</f>
        <v>Not seasonally adjusted</v>
      </c>
      <c r="Q4" t="str">
        <f>Table!P4</f>
        <v>Not seasonally adjusted</v>
      </c>
      <c r="R4" t="str">
        <f>Table!Q4</f>
        <v>Not seasonally adjusted</v>
      </c>
      <c r="S4" t="str">
        <f>Table!R4</f>
        <v>Not seasonally adjusted</v>
      </c>
      <c r="T4" t="str">
        <f>Table!S4</f>
        <v>Not seasonally adjusted</v>
      </c>
      <c r="U4" t="str">
        <f>Table!T4</f>
        <v>Not seasonally adjusted</v>
      </c>
      <c r="V4" t="str">
        <f>Table!U4</f>
        <v>Not seasonally adjusted</v>
      </c>
      <c r="W4" t="str">
        <f>Table!V4</f>
        <v>Not seasonally adjusted</v>
      </c>
      <c r="X4" t="str">
        <f>Table!W4</f>
        <v>Not seasonally adjusted</v>
      </c>
      <c r="Y4" t="str">
        <f>Table!X4</f>
        <v>Not seasonally adjusted</v>
      </c>
      <c r="Z4" t="str">
        <f>Table!Y4</f>
        <v>Not seasonally adjusted</v>
      </c>
      <c r="AA4" t="str">
        <f>Table!Z4</f>
        <v>Not seasonally adjusted</v>
      </c>
      <c r="AB4" t="str">
        <f>Table!AA4</f>
        <v>Not seasonally adjusted</v>
      </c>
      <c r="AC4" t="str">
        <f>Table!AB4</f>
        <v>Not seasonally adjusted</v>
      </c>
      <c r="AD4" t="str">
        <f>Table!AC4</f>
        <v>Not seasonally adjusted</v>
      </c>
      <c r="AE4" t="str">
        <f>Table!AD4</f>
        <v>Not seasonally adjusted</v>
      </c>
      <c r="AF4" t="str">
        <f>Table!AE4</f>
        <v>Not seasonally adjusted</v>
      </c>
      <c r="AG4" t="str">
        <f>Table!AF4</f>
        <v>Not seasonally adjusted</v>
      </c>
      <c r="AH4" t="str">
        <f>Table!AG4</f>
        <v>Not seasonally adjusted</v>
      </c>
      <c r="AI4" t="str">
        <f>Table!AH4</f>
        <v>Not seasonally adjusted</v>
      </c>
      <c r="AJ4" t="str">
        <f>Table!AI4</f>
        <v>Not seasonally adjusted</v>
      </c>
      <c r="AK4" t="str">
        <f>Table!AJ4</f>
        <v>Not seasonally adjusted</v>
      </c>
      <c r="AL4" t="str">
        <f>Table!AK4</f>
        <v>Not seasonally adjusted</v>
      </c>
      <c r="AM4" t="str">
        <f>Table!AL4</f>
        <v>Not seasonally adjusted</v>
      </c>
      <c r="AN4" t="str">
        <f>Table!AM4</f>
        <v>Not seasonally adjusted</v>
      </c>
      <c r="AO4" t="str">
        <f>Table!AN4</f>
        <v>Not seasonally adjusted</v>
      </c>
      <c r="AP4" t="str">
        <f>Table!AO4</f>
        <v>Not seasonally adjusted</v>
      </c>
      <c r="AQ4" t="str">
        <f>Table!AP4</f>
        <v>Not seasonally adjusted</v>
      </c>
      <c r="AR4" t="str">
        <f>Table!AQ4</f>
        <v>Not seasonally adjusted</v>
      </c>
      <c r="AS4" t="str">
        <f>Table!AR4</f>
        <v>Not seasonally adjusted</v>
      </c>
      <c r="AT4" t="str">
        <f>Table!AS4</f>
        <v>Not seasonally adjusted</v>
      </c>
      <c r="AU4" t="str">
        <f>Table!AT4</f>
        <v>Not seasonally adjusted</v>
      </c>
      <c r="AV4" t="str">
        <f>Table!AU4</f>
        <v>Not seasonally adjusted</v>
      </c>
      <c r="AW4" t="str">
        <f>Table!AV4</f>
        <v>Not seasonally adjusted</v>
      </c>
      <c r="AX4" t="str">
        <f>Table!AW4</f>
        <v>Not seasonally adjusted</v>
      </c>
      <c r="AY4" t="str">
        <f>Table!AX4</f>
        <v>Not seasonally adjusted</v>
      </c>
      <c r="AZ4" t="str">
        <f>Table!AY4</f>
        <v>Not seasonally adjusted</v>
      </c>
      <c r="BA4" t="str">
        <f>Table!AZ4</f>
        <v>Not seasonally adjusted</v>
      </c>
      <c r="BB4" t="str">
        <f>Table!BA4</f>
        <v>Not seasonally adjusted</v>
      </c>
      <c r="BC4" t="str">
        <f>Table!BB4</f>
        <v>Not seasonally adjusted</v>
      </c>
      <c r="BD4" t="str">
        <f>Table!BC4</f>
        <v>Not seasonally adjusted</v>
      </c>
      <c r="BE4" t="str">
        <f>Table!BD4</f>
        <v>Not seasonally adjusted</v>
      </c>
      <c r="BF4" t="str">
        <f>Table!BE4</f>
        <v>Not seasonally adjusted</v>
      </c>
      <c r="BG4" t="str">
        <f>Table!BF4</f>
        <v>Not seasonally adjusted</v>
      </c>
      <c r="BH4" t="str">
        <f>Table!BG4</f>
        <v>Not seasonally adjusted</v>
      </c>
      <c r="BI4" t="str">
        <f>Table!BH4</f>
        <v>Not seasonally adjusted</v>
      </c>
      <c r="BJ4" t="str">
        <f>Table!BI4</f>
        <v>Not seasonally adjusted</v>
      </c>
      <c r="BK4" t="str">
        <f>Table!BJ4</f>
        <v>Not seasonally adjusted</v>
      </c>
      <c r="BL4" t="str">
        <f>Table!BK4</f>
        <v>Not seasonally adjusted</v>
      </c>
      <c r="BM4" t="str">
        <f>Table!BL4</f>
        <v>Not seasonally adjusted</v>
      </c>
      <c r="BN4" t="str">
        <f>Table!BM4</f>
        <v>Not seasonally adjusted</v>
      </c>
      <c r="BO4" t="str">
        <f>Table!BN4</f>
        <v>Not seasonally adjusted</v>
      </c>
      <c r="BP4" t="str">
        <f>Table!BO4</f>
        <v>Not seasonally adjusted</v>
      </c>
      <c r="BQ4" t="str">
        <f>Table!BP4</f>
        <v>Not seasonally adjusted</v>
      </c>
      <c r="BR4" t="str">
        <f>Table!BQ4</f>
        <v>Not seasonally adjusted</v>
      </c>
      <c r="BS4" t="str">
        <f>Table!BR4</f>
        <v>Not seasonally adjusted</v>
      </c>
      <c r="BT4" t="str">
        <f>Table!BS4</f>
        <v>Not seasonally adjusted</v>
      </c>
      <c r="BU4" t="str">
        <f>Table!BT4</f>
        <v>Not seasonally adjusted</v>
      </c>
      <c r="BV4" t="str">
        <f>Table!BU4</f>
        <v>Not seasonally adjusted</v>
      </c>
      <c r="BW4" t="str">
        <f>Table!BV4</f>
        <v>Not seasonally adjusted</v>
      </c>
      <c r="BX4" t="str">
        <f>Table!BW4</f>
        <v>Not seasonally adjusted</v>
      </c>
      <c r="BY4" t="str">
        <f>Table!BX4</f>
        <v>Not seasonally adjusted</v>
      </c>
      <c r="BZ4" t="str">
        <f>Table!BY4</f>
        <v>Not seasonally adjusted</v>
      </c>
      <c r="CA4" t="str">
        <f>Table!BZ4</f>
        <v>Not seasonally adjusted</v>
      </c>
    </row>
    <row r="5" spans="1:79" x14ac:dyDescent="0.2">
      <c r="A5" t="s">
        <v>2</v>
      </c>
      <c r="B5" t="s">
        <v>3</v>
      </c>
      <c r="D5">
        <f>Table!C5</f>
        <v>2006</v>
      </c>
      <c r="E5">
        <f>Table!D5</f>
        <v>2006</v>
      </c>
      <c r="F5">
        <f>Table!E5</f>
        <v>2006</v>
      </c>
      <c r="G5">
        <f>Table!F5</f>
        <v>2006</v>
      </c>
      <c r="H5">
        <f>Table!G5</f>
        <v>2007</v>
      </c>
      <c r="I5">
        <f>Table!H5</f>
        <v>2007</v>
      </c>
      <c r="J5">
        <f>Table!I5</f>
        <v>2007</v>
      </c>
      <c r="K5">
        <f>Table!J5</f>
        <v>2007</v>
      </c>
      <c r="L5">
        <f>Table!K5</f>
        <v>2008</v>
      </c>
      <c r="M5">
        <f>Table!L5</f>
        <v>2008</v>
      </c>
      <c r="N5">
        <f>Table!M5</f>
        <v>2008</v>
      </c>
      <c r="O5">
        <f>Table!N5</f>
        <v>2008</v>
      </c>
      <c r="P5">
        <f>Table!O5</f>
        <v>2009</v>
      </c>
      <c r="Q5">
        <f>Table!P5</f>
        <v>2009</v>
      </c>
      <c r="R5">
        <f>Table!Q5</f>
        <v>2009</v>
      </c>
      <c r="S5">
        <f>Table!R5</f>
        <v>2009</v>
      </c>
      <c r="T5">
        <f>Table!S5</f>
        <v>2010</v>
      </c>
      <c r="U5">
        <f>Table!T5</f>
        <v>2010</v>
      </c>
      <c r="V5">
        <f>Table!U5</f>
        <v>2010</v>
      </c>
      <c r="W5">
        <f>Table!V5</f>
        <v>2010</v>
      </c>
      <c r="X5">
        <f>Table!W5</f>
        <v>2011</v>
      </c>
      <c r="Y5">
        <f>Table!X5</f>
        <v>2011</v>
      </c>
      <c r="Z5">
        <f>Table!Y5</f>
        <v>2011</v>
      </c>
      <c r="AA5">
        <f>Table!Z5</f>
        <v>2011</v>
      </c>
      <c r="AB5">
        <f>Table!AA5</f>
        <v>2012</v>
      </c>
      <c r="AC5">
        <f>Table!AB5</f>
        <v>2012</v>
      </c>
      <c r="AD5">
        <f>Table!AC5</f>
        <v>2012</v>
      </c>
      <c r="AE5">
        <f>Table!AD5</f>
        <v>2012</v>
      </c>
      <c r="AF5">
        <f>Table!AE5</f>
        <v>2013</v>
      </c>
      <c r="AG5">
        <f>Table!AF5</f>
        <v>2013</v>
      </c>
      <c r="AH5">
        <f>Table!AG5</f>
        <v>2013</v>
      </c>
      <c r="AI5">
        <f>Table!AH5</f>
        <v>2013</v>
      </c>
      <c r="AJ5">
        <f>Table!AI5</f>
        <v>2014</v>
      </c>
      <c r="AK5">
        <f>Table!AJ5</f>
        <v>2014</v>
      </c>
      <c r="AL5">
        <f>Table!AK5</f>
        <v>2014</v>
      </c>
      <c r="AM5">
        <f>Table!AL5</f>
        <v>2014</v>
      </c>
      <c r="AN5">
        <f>Table!AM5</f>
        <v>2015</v>
      </c>
      <c r="AO5">
        <f>Table!AN5</f>
        <v>2015</v>
      </c>
      <c r="AP5">
        <f>Table!AO5</f>
        <v>2015</v>
      </c>
      <c r="AQ5">
        <f>Table!AP5</f>
        <v>2015</v>
      </c>
      <c r="AR5">
        <f>Table!AQ5</f>
        <v>2016</v>
      </c>
      <c r="AS5">
        <f>Table!AR5</f>
        <v>2016</v>
      </c>
      <c r="AT5">
        <f>Table!AS5</f>
        <v>2016</v>
      </c>
      <c r="AU5">
        <f>Table!AT5</f>
        <v>2016</v>
      </c>
      <c r="AV5">
        <f>Table!AU5</f>
        <v>2017</v>
      </c>
      <c r="AW5">
        <f>Table!AV5</f>
        <v>2017</v>
      </c>
      <c r="AX5">
        <f>Table!AW5</f>
        <v>2017</v>
      </c>
      <c r="AY5">
        <f>Table!AX5</f>
        <v>2017</v>
      </c>
      <c r="AZ5">
        <f>Table!AY5</f>
        <v>2018</v>
      </c>
      <c r="BA5">
        <f>Table!AZ5</f>
        <v>2018</v>
      </c>
      <c r="BB5">
        <f>Table!BA5</f>
        <v>2018</v>
      </c>
      <c r="BC5">
        <f>Table!BB5</f>
        <v>2018</v>
      </c>
      <c r="BD5">
        <f>Table!BC5</f>
        <v>2019</v>
      </c>
      <c r="BE5">
        <f>Table!BD5</f>
        <v>2019</v>
      </c>
      <c r="BF5">
        <f>Table!BE5</f>
        <v>2019</v>
      </c>
      <c r="BG5">
        <f>Table!BF5</f>
        <v>2019</v>
      </c>
      <c r="BH5">
        <f>Table!BG5</f>
        <v>2020</v>
      </c>
      <c r="BI5">
        <f>Table!BH5</f>
        <v>2020</v>
      </c>
      <c r="BJ5">
        <f>Table!BI5</f>
        <v>2020</v>
      </c>
      <c r="BK5">
        <f>Table!BJ5</f>
        <v>2020</v>
      </c>
      <c r="BL5">
        <f>Table!BK5</f>
        <v>2021</v>
      </c>
      <c r="BM5">
        <f>Table!BL5</f>
        <v>2021</v>
      </c>
      <c r="BN5">
        <f>Table!BM5</f>
        <v>2021</v>
      </c>
      <c r="BO5">
        <f>Table!BN5</f>
        <v>2021</v>
      </c>
      <c r="BP5">
        <f>Table!BO5</f>
        <v>2022</v>
      </c>
      <c r="BQ5">
        <f>Table!BP5</f>
        <v>2022</v>
      </c>
      <c r="BR5">
        <f>Table!BQ5</f>
        <v>2022</v>
      </c>
      <c r="BS5">
        <f>Table!BR5</f>
        <v>2022</v>
      </c>
      <c r="BT5">
        <f>Table!BS5</f>
        <v>2023</v>
      </c>
      <c r="BU5">
        <f>Table!BT5</f>
        <v>2023</v>
      </c>
      <c r="BV5">
        <f>Table!BU5</f>
        <v>2023</v>
      </c>
      <c r="BW5">
        <f>Table!BV5</f>
        <v>2023</v>
      </c>
      <c r="BX5">
        <f>Table!BW5</f>
        <v>2024</v>
      </c>
      <c r="BY5">
        <f>Table!BX5</f>
        <v>2024</v>
      </c>
      <c r="BZ5">
        <f>Table!BY5</f>
        <v>2024</v>
      </c>
      <c r="CA5">
        <f>Table!BZ5</f>
        <v>2024</v>
      </c>
    </row>
    <row r="6" spans="1:79" x14ac:dyDescent="0.2">
      <c r="A6" t="s">
        <v>2</v>
      </c>
      <c r="B6" t="s">
        <v>3</v>
      </c>
      <c r="D6" t="str">
        <f>Table!C6</f>
        <v>Q1</v>
      </c>
      <c r="E6" t="str">
        <f>Table!D6</f>
        <v>Q2</v>
      </c>
      <c r="F6" t="str">
        <f>Table!E6</f>
        <v>Q3</v>
      </c>
      <c r="G6" t="str">
        <f>Table!F6</f>
        <v>Q4</v>
      </c>
      <c r="H6" t="str">
        <f>Table!G6</f>
        <v>Q1</v>
      </c>
      <c r="I6" t="str">
        <f>Table!H6</f>
        <v>Q2</v>
      </c>
      <c r="J6" t="str">
        <f>Table!I6</f>
        <v>Q3</v>
      </c>
      <c r="K6" t="str">
        <f>Table!J6</f>
        <v>Q4</v>
      </c>
      <c r="L6" t="str">
        <f>Table!K6</f>
        <v>Q1</v>
      </c>
      <c r="M6" t="str">
        <f>Table!L6</f>
        <v>Q2</v>
      </c>
      <c r="N6" t="str">
        <f>Table!M6</f>
        <v>Q3</v>
      </c>
      <c r="O6" t="str">
        <f>Table!N6</f>
        <v>Q4</v>
      </c>
      <c r="P6" t="str">
        <f>Table!O6</f>
        <v>Q1</v>
      </c>
      <c r="Q6" t="str">
        <f>Table!P6</f>
        <v>Q2</v>
      </c>
      <c r="R6" t="str">
        <f>Table!Q6</f>
        <v>Q3</v>
      </c>
      <c r="S6" t="str">
        <f>Table!R6</f>
        <v>Q4</v>
      </c>
      <c r="T6" t="str">
        <f>Table!S6</f>
        <v>Q1</v>
      </c>
      <c r="U6" t="str">
        <f>Table!T6</f>
        <v>Q2</v>
      </c>
      <c r="V6" t="str">
        <f>Table!U6</f>
        <v>Q3</v>
      </c>
      <c r="W6" t="str">
        <f>Table!V6</f>
        <v>Q4</v>
      </c>
      <c r="X6" t="str">
        <f>Table!W6</f>
        <v>Q1</v>
      </c>
      <c r="Y6" t="str">
        <f>Table!X6</f>
        <v>Q2</v>
      </c>
      <c r="Z6" t="str">
        <f>Table!Y6</f>
        <v>Q3</v>
      </c>
      <c r="AA6" t="str">
        <f>Table!Z6</f>
        <v>Q4</v>
      </c>
      <c r="AB6" t="str">
        <f>Table!AA6</f>
        <v>Q1</v>
      </c>
      <c r="AC6" t="str">
        <f>Table!AB6</f>
        <v>Q2</v>
      </c>
      <c r="AD6" t="str">
        <f>Table!AC6</f>
        <v>Q3</v>
      </c>
      <c r="AE6" t="str">
        <f>Table!AD6</f>
        <v>Q4</v>
      </c>
      <c r="AF6" t="str">
        <f>Table!AE6</f>
        <v>Q1</v>
      </c>
      <c r="AG6" t="str">
        <f>Table!AF6</f>
        <v>Q2</v>
      </c>
      <c r="AH6" t="str">
        <f>Table!AG6</f>
        <v>Q3</v>
      </c>
      <c r="AI6" t="str">
        <f>Table!AH6</f>
        <v>Q4</v>
      </c>
      <c r="AJ6" t="str">
        <f>Table!AI6</f>
        <v>Q1</v>
      </c>
      <c r="AK6" t="str">
        <f>Table!AJ6</f>
        <v>Q2</v>
      </c>
      <c r="AL6" t="str">
        <f>Table!AK6</f>
        <v>Q3</v>
      </c>
      <c r="AM6" t="str">
        <f>Table!AL6</f>
        <v>Q4</v>
      </c>
      <c r="AN6" t="str">
        <f>Table!AM6</f>
        <v>Q1</v>
      </c>
      <c r="AO6" t="str">
        <f>Table!AN6</f>
        <v>Q2</v>
      </c>
      <c r="AP6" t="str">
        <f>Table!AO6</f>
        <v>Q3</v>
      </c>
      <c r="AQ6" t="str">
        <f>Table!AP6</f>
        <v>Q4</v>
      </c>
      <c r="AR6" t="str">
        <f>Table!AQ6</f>
        <v>Q1</v>
      </c>
      <c r="AS6" t="str">
        <f>Table!AR6</f>
        <v>Q2</v>
      </c>
      <c r="AT6" t="str">
        <f>Table!AS6</f>
        <v>Q3</v>
      </c>
      <c r="AU6" t="str">
        <f>Table!AT6</f>
        <v>Q4</v>
      </c>
      <c r="AV6" t="str">
        <f>Table!AU6</f>
        <v>Q1</v>
      </c>
      <c r="AW6" t="str">
        <f>Table!AV6</f>
        <v>Q2</v>
      </c>
      <c r="AX6" t="str">
        <f>Table!AW6</f>
        <v>Q3</v>
      </c>
      <c r="AY6" t="str">
        <f>Table!AX6</f>
        <v>Q4</v>
      </c>
      <c r="AZ6" t="str">
        <f>Table!AY6</f>
        <v>Q1</v>
      </c>
      <c r="BA6" t="str">
        <f>Table!AZ6</f>
        <v>Q2</v>
      </c>
      <c r="BB6" t="str">
        <f>Table!BA6</f>
        <v>Q3</v>
      </c>
      <c r="BC6" t="str">
        <f>Table!BB6</f>
        <v>Q4</v>
      </c>
      <c r="BD6" t="str">
        <f>Table!BC6</f>
        <v>Q1</v>
      </c>
      <c r="BE6" t="str">
        <f>Table!BD6</f>
        <v>Q2</v>
      </c>
      <c r="BF6" t="str">
        <f>Table!BE6</f>
        <v>Q3</v>
      </c>
      <c r="BG6" t="str">
        <f>Table!BF6</f>
        <v>Q4</v>
      </c>
      <c r="BH6" t="str">
        <f>Table!BG6</f>
        <v>Q1</v>
      </c>
      <c r="BI6" t="str">
        <f>Table!BH6</f>
        <v>Q2</v>
      </c>
      <c r="BJ6" t="str">
        <f>Table!BI6</f>
        <v>Q3</v>
      </c>
      <c r="BK6" t="str">
        <f>Table!BJ6</f>
        <v>Q4</v>
      </c>
      <c r="BL6" t="str">
        <f>Table!BK6</f>
        <v>Q1</v>
      </c>
      <c r="BM6" t="str">
        <f>Table!BL6</f>
        <v>Q2</v>
      </c>
      <c r="BN6" t="str">
        <f>Table!BM6</f>
        <v>Q3</v>
      </c>
      <c r="BO6" t="str">
        <f>Table!BN6</f>
        <v>Q4</v>
      </c>
      <c r="BP6" t="str">
        <f>Table!BO6</f>
        <v>Q1</v>
      </c>
      <c r="BQ6" t="str">
        <f>Table!BP6</f>
        <v>Q2</v>
      </c>
      <c r="BR6" t="str">
        <f>Table!BQ6</f>
        <v>Q3</v>
      </c>
      <c r="BS6" t="str">
        <f>Table!BR6</f>
        <v>Q4</v>
      </c>
      <c r="BT6" t="str">
        <f>Table!BS6</f>
        <v>Q1</v>
      </c>
      <c r="BU6" t="str">
        <f>Table!BT6</f>
        <v>Q2</v>
      </c>
      <c r="BV6" t="str">
        <f>Table!BU6</f>
        <v>Q3</v>
      </c>
      <c r="BW6" t="str">
        <f>Table!BV6</f>
        <v>Q4</v>
      </c>
      <c r="BX6" t="str">
        <f>Table!BW6</f>
        <v>Q1</v>
      </c>
      <c r="BY6" t="str">
        <f>Table!BX6</f>
        <v>Q2</v>
      </c>
      <c r="BZ6" t="str">
        <f>Table!BY6</f>
        <v>Q3</v>
      </c>
      <c r="CA6" t="str">
        <f>Table!BZ6</f>
        <v>Q4</v>
      </c>
    </row>
    <row r="7" spans="1:79" x14ac:dyDescent="0.2">
      <c r="A7">
        <v>1</v>
      </c>
      <c r="B7" t="s">
        <v>9</v>
      </c>
      <c r="D7">
        <f>Table!C7</f>
        <v>-1655616</v>
      </c>
      <c r="E7">
        <f>Table!D7</f>
        <v>-1678770</v>
      </c>
      <c r="F7">
        <f>Table!E7</f>
        <v>-2005759</v>
      </c>
      <c r="G7">
        <f>Table!F7</f>
        <v>-1807819</v>
      </c>
      <c r="H7">
        <f>Table!G7</f>
        <v>-1654166</v>
      </c>
      <c r="I7">
        <f>Table!H7</f>
        <v>-1421382</v>
      </c>
      <c r="J7">
        <f>Table!I7</f>
        <v>-1231443</v>
      </c>
      <c r="K7">
        <f>Table!J7</f>
        <v>-1278830</v>
      </c>
      <c r="L7">
        <f>Table!K7</f>
        <v>-1849030</v>
      </c>
      <c r="M7">
        <f>Table!L7</f>
        <v>-1834418</v>
      </c>
      <c r="N7">
        <f>Table!M7</f>
        <v>-3309018</v>
      </c>
      <c r="O7">
        <f>Table!N7</f>
        <v>-3994625</v>
      </c>
      <c r="P7">
        <f>Table!O7</f>
        <v>-3856030</v>
      </c>
      <c r="Q7">
        <f>Table!P7</f>
        <v>-3199376</v>
      </c>
      <c r="R7">
        <f>Table!Q7</f>
        <v>-2669479</v>
      </c>
      <c r="S7">
        <f>Table!R7</f>
        <v>-2626940</v>
      </c>
      <c r="T7">
        <f>Table!S7</f>
        <v>-2769046</v>
      </c>
      <c r="U7">
        <f>Table!T7</f>
        <v>-3180635</v>
      </c>
      <c r="V7">
        <f>Table!U7</f>
        <v>-2746288</v>
      </c>
      <c r="W7">
        <f>Table!V7</f>
        <v>-2511072</v>
      </c>
      <c r="X7">
        <f>Table!W7</f>
        <v>-2638416</v>
      </c>
      <c r="Y7">
        <f>Table!X7</f>
        <v>-2785304</v>
      </c>
      <c r="Z7">
        <f>Table!Y7</f>
        <v>-4134034</v>
      </c>
      <c r="AA7">
        <f>Table!Z7</f>
        <v>-4454616</v>
      </c>
      <c r="AB7">
        <f>Table!AA7</f>
        <v>-4604772</v>
      </c>
      <c r="AC7">
        <f>Table!AB7</f>
        <v>-5259919</v>
      </c>
      <c r="AD7">
        <f>Table!AC7</f>
        <v>-5000197</v>
      </c>
      <c r="AE7">
        <f>Table!AD7</f>
        <v>-4569528</v>
      </c>
      <c r="AF7">
        <f>Table!AE7</f>
        <v>-5094143</v>
      </c>
      <c r="AG7">
        <f>Table!AF7</f>
        <v>-5527281</v>
      </c>
      <c r="AH7">
        <f>Table!AG7</f>
        <v>-4994325</v>
      </c>
      <c r="AI7">
        <f>Table!AH7</f>
        <v>-5443587</v>
      </c>
      <c r="AJ7">
        <f>Table!AI7</f>
        <v>-5503555</v>
      </c>
      <c r="AK7">
        <f>Table!AJ7</f>
        <v>-5490052</v>
      </c>
      <c r="AL7">
        <f>Table!AK7</f>
        <v>-6206947</v>
      </c>
      <c r="AM7">
        <f>Table!AL7</f>
        <v>-7021188</v>
      </c>
      <c r="AN7">
        <f>Table!AM7</f>
        <v>-6960663</v>
      </c>
      <c r="AO7">
        <f>Table!AN7</f>
        <v>-6874739</v>
      </c>
      <c r="AP7">
        <f>Table!AO7</f>
        <v>-7427021</v>
      </c>
      <c r="AQ7">
        <f>Table!AP7</f>
        <v>-7590470</v>
      </c>
      <c r="AR7">
        <f>Table!AQ7</f>
        <v>-7886675</v>
      </c>
      <c r="AS7">
        <f>Table!AR7</f>
        <v>-8340977</v>
      </c>
      <c r="AT7">
        <f>Table!AS7</f>
        <v>-8104523</v>
      </c>
      <c r="AU7">
        <f>Table!AT7</f>
        <v>-8258387</v>
      </c>
      <c r="AV7">
        <f>Table!AU7</f>
        <v>-8091781</v>
      </c>
      <c r="AW7">
        <f>Table!AV7</f>
        <v>-7959439</v>
      </c>
      <c r="AX7">
        <f>Table!AW7</f>
        <v>-7743743</v>
      </c>
      <c r="AY7">
        <f>Table!AX7</f>
        <v>-7830723</v>
      </c>
      <c r="AZ7">
        <f>Table!AY7</f>
        <v>-7944390</v>
      </c>
      <c r="BA7">
        <f>Table!AZ7</f>
        <v>-8915229</v>
      </c>
      <c r="BB7">
        <f>Table!BA7</f>
        <v>-9668234</v>
      </c>
      <c r="BC7">
        <f>Table!BB7</f>
        <v>-9795821</v>
      </c>
      <c r="BD7">
        <f>Table!BC7</f>
        <v>-10349908</v>
      </c>
      <c r="BE7">
        <f>Table!BD7</f>
        <v>-10738701</v>
      </c>
      <c r="BF7">
        <f>Table!BE7</f>
        <v>-11520386</v>
      </c>
      <c r="BG7">
        <f>Table!BF7</f>
        <v>-11666440</v>
      </c>
      <c r="BH7">
        <f>Table!BG7</f>
        <v>-12608703</v>
      </c>
      <c r="BI7">
        <f>Table!BH7</f>
        <v>-13599447</v>
      </c>
      <c r="BJ7">
        <f>Table!BI7</f>
        <v>-14460621</v>
      </c>
      <c r="BK7">
        <f>Table!BJ7</f>
        <v>-14721004</v>
      </c>
      <c r="BL7">
        <f>Table!BK7</f>
        <v>-15050086</v>
      </c>
      <c r="BM7">
        <f>Table!BL7</f>
        <v>-16098813</v>
      </c>
      <c r="BN7">
        <f>Table!BM7</f>
        <v>-16448862</v>
      </c>
      <c r="BO7">
        <f>Table!BN7</f>
        <v>-18832520</v>
      </c>
      <c r="BP7">
        <f>Table!BO7</f>
        <v>-18340500</v>
      </c>
      <c r="BQ7">
        <f>Table!BP7</f>
        <v>-16640751</v>
      </c>
      <c r="BR7">
        <f>Table!BQ7</f>
        <v>-16859325</v>
      </c>
      <c r="BS7">
        <f>Table!BR7</f>
        <v>-16263908</v>
      </c>
      <c r="BT7">
        <f>Table!BS7</f>
        <v>-16933306</v>
      </c>
      <c r="BU7">
        <f>Table!BT7</f>
        <v>-18249600</v>
      </c>
      <c r="BV7">
        <f>Table!BU7</f>
        <v>-18297214</v>
      </c>
      <c r="BW7">
        <f>Table!BV7</f>
        <v>-19853154</v>
      </c>
      <c r="BX7">
        <f>Table!BW7</f>
        <v>-21288760</v>
      </c>
      <c r="BY7">
        <f>Table!BX7</f>
        <v>-22545897</v>
      </c>
      <c r="BZ7">
        <f>Table!BY7</f>
        <v>-24153554</v>
      </c>
      <c r="CA7">
        <f>Table!BZ7</f>
        <v>-26232125</v>
      </c>
    </row>
    <row r="8" spans="1:79" x14ac:dyDescent="0.2">
      <c r="A8">
        <v>2</v>
      </c>
      <c r="B8" t="s">
        <v>10</v>
      </c>
      <c r="CA8">
        <f>Table!BZ8</f>
        <v>-26264275</v>
      </c>
    </row>
    <row r="9" spans="1:79" x14ac:dyDescent="0.2">
      <c r="A9">
        <v>3</v>
      </c>
      <c r="B9" t="s">
        <v>11</v>
      </c>
      <c r="CA9">
        <f>Table!BZ9</f>
        <v>32150</v>
      </c>
    </row>
    <row r="10" spans="1:79" x14ac:dyDescent="0.2">
      <c r="A10">
        <v>4</v>
      </c>
      <c r="B10" t="s">
        <v>12</v>
      </c>
      <c r="CA10">
        <f>Table!BZ10</f>
        <v>35885452</v>
      </c>
    </row>
    <row r="11" spans="1:79" x14ac:dyDescent="0.2">
      <c r="A11">
        <v>5</v>
      </c>
      <c r="B11" t="s">
        <v>13</v>
      </c>
      <c r="CA11">
        <f>Table!BZ11</f>
        <v>33569285</v>
      </c>
    </row>
    <row r="12" spans="1:79" x14ac:dyDescent="0.2">
      <c r="A12">
        <v>6</v>
      </c>
      <c r="B12" t="s">
        <v>14</v>
      </c>
      <c r="CA12">
        <f>Table!BZ12</f>
        <v>2316167</v>
      </c>
    </row>
    <row r="13" spans="1:79" x14ac:dyDescent="0.2">
      <c r="B13" t="s">
        <v>15</v>
      </c>
      <c r="CA13">
        <f>Table!BZ13</f>
        <v>0</v>
      </c>
    </row>
    <row r="14" spans="1:79" x14ac:dyDescent="0.2">
      <c r="A14">
        <v>7</v>
      </c>
      <c r="B14" t="s">
        <v>16</v>
      </c>
      <c r="CA14">
        <f>Table!BZ14</f>
        <v>11265403</v>
      </c>
    </row>
    <row r="15" spans="1:79" x14ac:dyDescent="0.2">
      <c r="A15">
        <v>8</v>
      </c>
      <c r="B15" t="s">
        <v>17</v>
      </c>
      <c r="CA15">
        <f>Table!BZ15</f>
        <v>9922846</v>
      </c>
    </row>
    <row r="16" spans="1:79" x14ac:dyDescent="0.2">
      <c r="A16">
        <v>9</v>
      </c>
      <c r="B16" t="s">
        <v>18</v>
      </c>
      <c r="CA16">
        <f>Table!BZ16</f>
        <v>1342556</v>
      </c>
    </row>
    <row r="17" spans="1:79" x14ac:dyDescent="0.2">
      <c r="A17">
        <v>10</v>
      </c>
      <c r="B17" t="s">
        <v>19</v>
      </c>
      <c r="CA17">
        <f>Table!BZ17</f>
        <v>15873091</v>
      </c>
    </row>
    <row r="18" spans="1:79" x14ac:dyDescent="0.2">
      <c r="A18">
        <v>11</v>
      </c>
      <c r="B18" t="s">
        <v>20</v>
      </c>
      <c r="CA18">
        <f>Table!BZ18</f>
        <v>12109284</v>
      </c>
    </row>
    <row r="19" spans="1:79" x14ac:dyDescent="0.2">
      <c r="A19">
        <v>12</v>
      </c>
      <c r="B19" t="s">
        <v>21</v>
      </c>
      <c r="CA19">
        <f>Table!BZ19</f>
        <v>3763807</v>
      </c>
    </row>
    <row r="20" spans="1:79" x14ac:dyDescent="0.2">
      <c r="A20">
        <v>13</v>
      </c>
      <c r="B20" t="s">
        <v>22</v>
      </c>
      <c r="CA20">
        <f>Table!BZ20</f>
        <v>412337</v>
      </c>
    </row>
    <row r="21" spans="1:79" x14ac:dyDescent="0.2">
      <c r="A21">
        <v>14</v>
      </c>
      <c r="B21" t="s">
        <v>23</v>
      </c>
      <c r="CA21">
        <f>Table!BZ21</f>
        <v>3351470</v>
      </c>
    </row>
    <row r="22" spans="1:79" x14ac:dyDescent="0.2">
      <c r="A22">
        <v>15</v>
      </c>
      <c r="B22" t="s">
        <v>24</v>
      </c>
      <c r="CA22">
        <f>Table!BZ22</f>
        <v>2316167</v>
      </c>
    </row>
    <row r="23" spans="1:79" x14ac:dyDescent="0.2">
      <c r="A23">
        <v>16</v>
      </c>
      <c r="B23" t="s">
        <v>25</v>
      </c>
      <c r="CA23">
        <f>Table!BZ23</f>
        <v>2243955</v>
      </c>
    </row>
    <row r="24" spans="1:79" x14ac:dyDescent="0.2">
      <c r="A24">
        <v>17</v>
      </c>
      <c r="B24" t="s">
        <v>26</v>
      </c>
      <c r="CA24">
        <f>Table!BZ24</f>
        <v>1532498</v>
      </c>
    </row>
    <row r="25" spans="1:79" x14ac:dyDescent="0.2">
      <c r="A25">
        <v>18</v>
      </c>
      <c r="B25" t="s">
        <v>27</v>
      </c>
      <c r="CA25">
        <f>Table!BZ25</f>
        <v>535485</v>
      </c>
    </row>
    <row r="26" spans="1:79" x14ac:dyDescent="0.2">
      <c r="A26">
        <v>19</v>
      </c>
      <c r="B26" t="s">
        <v>28</v>
      </c>
      <c r="CA26">
        <f>Table!BZ26</f>
        <v>175972</v>
      </c>
    </row>
    <row r="27" spans="1:79" x14ac:dyDescent="0.2">
      <c r="A27">
        <v>20</v>
      </c>
      <c r="B27" t="s">
        <v>29</v>
      </c>
      <c r="CA27">
        <f>Table!BZ27</f>
        <v>72212</v>
      </c>
    </row>
    <row r="28" spans="1:79" x14ac:dyDescent="0.2">
      <c r="A28">
        <v>21</v>
      </c>
      <c r="B28" t="s">
        <v>30</v>
      </c>
      <c r="CA28">
        <f>Table!BZ28</f>
        <v>5520846</v>
      </c>
    </row>
    <row r="29" spans="1:79" x14ac:dyDescent="0.2">
      <c r="A29">
        <v>22</v>
      </c>
      <c r="B29" t="s">
        <v>31</v>
      </c>
      <c r="CA29">
        <f>Table!BZ29</f>
        <v>77046</v>
      </c>
    </row>
    <row r="30" spans="1:79" x14ac:dyDescent="0.2">
      <c r="A30">
        <v>23</v>
      </c>
      <c r="B30" t="s">
        <v>32</v>
      </c>
      <c r="CA30">
        <f>Table!BZ30</f>
        <v>2379871</v>
      </c>
    </row>
    <row r="31" spans="1:79" x14ac:dyDescent="0.2">
      <c r="A31">
        <v>24</v>
      </c>
      <c r="B31" t="s">
        <v>33</v>
      </c>
      <c r="CA31">
        <f>Table!BZ31</f>
        <v>3019133</v>
      </c>
    </row>
    <row r="32" spans="1:79" x14ac:dyDescent="0.2">
      <c r="A32">
        <v>25</v>
      </c>
      <c r="B32" t="s">
        <v>34</v>
      </c>
      <c r="CA32" t="str">
        <f>Table!BZ32</f>
        <v>n.a.</v>
      </c>
    </row>
    <row r="33" spans="1:79" x14ac:dyDescent="0.2">
      <c r="A33">
        <v>26</v>
      </c>
      <c r="B33" t="s">
        <v>36</v>
      </c>
      <c r="CA33">
        <f>Table!BZ33</f>
        <v>44796</v>
      </c>
    </row>
    <row r="34" spans="1:79" x14ac:dyDescent="0.2">
      <c r="A34">
        <v>27</v>
      </c>
      <c r="B34" t="s">
        <v>37</v>
      </c>
      <c r="CA34">
        <f>Table!BZ34</f>
        <v>909945</v>
      </c>
    </row>
    <row r="35" spans="1:79" x14ac:dyDescent="0.2">
      <c r="A35">
        <v>28</v>
      </c>
      <c r="B35" t="s">
        <v>38</v>
      </c>
      <c r="CA35">
        <f>Table!BZ35</f>
        <v>682277</v>
      </c>
    </row>
    <row r="36" spans="1:79" x14ac:dyDescent="0.2">
      <c r="A36">
        <v>29</v>
      </c>
      <c r="B36" t="s">
        <v>39</v>
      </c>
      <c r="CA36">
        <f>Table!BZ36</f>
        <v>166890</v>
      </c>
    </row>
    <row r="37" spans="1:79" x14ac:dyDescent="0.2">
      <c r="A37">
        <v>30</v>
      </c>
      <c r="B37" t="s">
        <v>40</v>
      </c>
      <c r="CA37">
        <f>Table!BZ37</f>
        <v>26005</v>
      </c>
    </row>
    <row r="38" spans="1:79" x14ac:dyDescent="0.2">
      <c r="A38">
        <v>31</v>
      </c>
      <c r="B38" t="s">
        <v>41</v>
      </c>
      <c r="CA38">
        <f>Table!BZ38</f>
        <v>34773</v>
      </c>
    </row>
    <row r="39" spans="1:79" x14ac:dyDescent="0.2">
      <c r="A39">
        <v>32</v>
      </c>
      <c r="B39" t="s">
        <v>42</v>
      </c>
      <c r="CA39">
        <f>Table!BZ39</f>
        <v>21804</v>
      </c>
    </row>
    <row r="40" spans="1:79" x14ac:dyDescent="0.2">
      <c r="A40">
        <v>33</v>
      </c>
      <c r="B40" t="s">
        <v>43</v>
      </c>
      <c r="CA40">
        <f>Table!BZ40</f>
        <v>12970</v>
      </c>
    </row>
    <row r="41" spans="1:79" x14ac:dyDescent="0.2">
      <c r="A41">
        <v>34</v>
      </c>
      <c r="B41" t="s">
        <v>44</v>
      </c>
      <c r="CA41" t="str">
        <f>Table!BZ41</f>
        <v>.....</v>
      </c>
    </row>
    <row r="42" spans="1:79" x14ac:dyDescent="0.2">
      <c r="A42">
        <v>35</v>
      </c>
      <c r="B42" t="s">
        <v>46</v>
      </c>
      <c r="CA42">
        <f>Table!BZ42</f>
        <v>0</v>
      </c>
    </row>
    <row r="43" spans="1:79" x14ac:dyDescent="0.2">
      <c r="A43">
        <v>36</v>
      </c>
      <c r="B43" t="s">
        <v>47</v>
      </c>
      <c r="D43">
        <f>Table!C43</f>
        <v>16122685</v>
      </c>
      <c r="E43">
        <f>Table!D43</f>
        <v>16485106</v>
      </c>
      <c r="F43">
        <f>Table!E43</f>
        <v>17281746</v>
      </c>
      <c r="G43">
        <f>Table!F43</f>
        <v>18218331</v>
      </c>
      <c r="H43">
        <f>Table!G43</f>
        <v>18960701</v>
      </c>
      <c r="I43">
        <f>Table!H43</f>
        <v>20262313</v>
      </c>
      <c r="J43">
        <f>Table!I43</f>
        <v>20913533</v>
      </c>
      <c r="K43">
        <f>Table!J43</f>
        <v>21983996</v>
      </c>
      <c r="L43">
        <f>Table!K43</f>
        <v>23736139</v>
      </c>
      <c r="M43">
        <f>Table!L43</f>
        <v>22848492</v>
      </c>
      <c r="N43">
        <f>Table!M43</f>
        <v>21741288</v>
      </c>
      <c r="O43">
        <f>Table!N43</f>
        <v>23418718</v>
      </c>
      <c r="P43">
        <f>Table!O43</f>
        <v>22004103</v>
      </c>
      <c r="Q43">
        <f>Table!P43</f>
        <v>21132222</v>
      </c>
      <c r="R43">
        <f>Table!Q43</f>
        <v>22403110</v>
      </c>
      <c r="S43">
        <f>Table!R43</f>
        <v>22054085</v>
      </c>
      <c r="T43">
        <f>Table!S43</f>
        <v>22522705</v>
      </c>
      <c r="U43">
        <f>Table!T43</f>
        <v>22978071</v>
      </c>
      <c r="V43">
        <f>Table!U43</f>
        <v>24713638</v>
      </c>
      <c r="W43">
        <f>Table!V43</f>
        <v>24279619</v>
      </c>
      <c r="X43">
        <f>Table!W43</f>
        <v>24788304</v>
      </c>
      <c r="Y43">
        <f>Table!X43</f>
        <v>25233740</v>
      </c>
      <c r="Z43">
        <f>Table!Y43</f>
        <v>26435151</v>
      </c>
      <c r="AA43">
        <f>Table!Z43</f>
        <v>26664258</v>
      </c>
      <c r="AB43">
        <f>Table!AA43</f>
        <v>26822016</v>
      </c>
      <c r="AC43">
        <f>Table!AB43</f>
        <v>26767319</v>
      </c>
      <c r="AD43">
        <f>Table!AC43</f>
        <v>27313305</v>
      </c>
      <c r="AE43">
        <f>Table!AD43</f>
        <v>27080174</v>
      </c>
      <c r="AF43">
        <f>Table!AE43</f>
        <v>27767917</v>
      </c>
      <c r="AG43">
        <f>Table!AF43</f>
        <v>27470984</v>
      </c>
      <c r="AH43">
        <f>Table!AG43</f>
        <v>27978365</v>
      </c>
      <c r="AI43">
        <f>Table!AH43</f>
        <v>29513421</v>
      </c>
      <c r="AJ43">
        <f>Table!AI43</f>
        <v>29641727</v>
      </c>
      <c r="AK43">
        <f>Table!AJ43</f>
        <v>30548680</v>
      </c>
      <c r="AL43">
        <f>Table!AK43</f>
        <v>30877211</v>
      </c>
      <c r="AM43">
        <f>Table!AL43</f>
        <v>31828304</v>
      </c>
      <c r="AN43">
        <f>Table!AM43</f>
        <v>32517930</v>
      </c>
      <c r="AO43">
        <f>Table!AN43</f>
        <v>31562682</v>
      </c>
      <c r="AP43">
        <f>Table!AO43</f>
        <v>30881198</v>
      </c>
      <c r="AQ43">
        <f>Table!AP43</f>
        <v>30892217</v>
      </c>
      <c r="AR43">
        <f>Table!AQ43</f>
        <v>31914696</v>
      </c>
      <c r="AS43">
        <f>Table!AR43</f>
        <v>32836299</v>
      </c>
      <c r="AT43">
        <f>Table!AS43</f>
        <v>32872184</v>
      </c>
      <c r="AU43">
        <f>Table!AT43</f>
        <v>32160757</v>
      </c>
      <c r="AV43">
        <f>Table!AU43</f>
        <v>32997277</v>
      </c>
      <c r="AW43">
        <f>Table!AV43</f>
        <v>33859632</v>
      </c>
      <c r="AX43">
        <f>Table!AW43</f>
        <v>34660204</v>
      </c>
      <c r="AY43">
        <f>Table!AX43</f>
        <v>35412791</v>
      </c>
      <c r="AZ43">
        <f>Table!AY43</f>
        <v>35444253</v>
      </c>
      <c r="BA43">
        <f>Table!AZ43</f>
        <v>35846697</v>
      </c>
      <c r="BB43">
        <f>Table!BA43</f>
        <v>36729522</v>
      </c>
      <c r="BC43">
        <f>Table!BB43</f>
        <v>34902578</v>
      </c>
      <c r="BD43">
        <f>Table!BC43</f>
        <v>37025938</v>
      </c>
      <c r="BE43">
        <f>Table!BD43</f>
        <v>38297960</v>
      </c>
      <c r="BF43">
        <f>Table!BE43</f>
        <v>39313952</v>
      </c>
      <c r="BG43">
        <f>Table!BF43</f>
        <v>40511618</v>
      </c>
      <c r="BH43">
        <f>Table!BG43</f>
        <v>39316239</v>
      </c>
      <c r="BI43">
        <f>Table!BH43</f>
        <v>42146921</v>
      </c>
      <c r="BJ43">
        <f>Table!BI43</f>
        <v>43747053</v>
      </c>
      <c r="BK43">
        <f>Table!BJ43</f>
        <v>46744160</v>
      </c>
      <c r="BL43">
        <f>Table!BK43</f>
        <v>47727220</v>
      </c>
      <c r="BM43">
        <f>Table!BL43</f>
        <v>50230949</v>
      </c>
      <c r="BN43">
        <f>Table!BM43</f>
        <v>50673028</v>
      </c>
      <c r="BO43">
        <f>Table!BN43</f>
        <v>53775458</v>
      </c>
      <c r="BP43">
        <f>Table!BO43</f>
        <v>52278123</v>
      </c>
      <c r="BQ43">
        <f>Table!BP43</f>
        <v>47540616</v>
      </c>
      <c r="BR43">
        <f>Table!BQ43</f>
        <v>46449421</v>
      </c>
      <c r="BS43">
        <f>Table!BR43</f>
        <v>47704194</v>
      </c>
      <c r="BT43">
        <f>Table!BS43</f>
        <v>49473808</v>
      </c>
      <c r="BU43">
        <f>Table!BT43</f>
        <v>51583212</v>
      </c>
      <c r="BV43">
        <f>Table!BU43</f>
        <v>50957862</v>
      </c>
      <c r="BW43">
        <f>Table!BV43</f>
        <v>54252801</v>
      </c>
      <c r="BX43">
        <f>Table!BW43</f>
        <v>57117662</v>
      </c>
      <c r="BY43">
        <f>Table!BX43</f>
        <v>58628966</v>
      </c>
      <c r="BZ43">
        <f>Table!BY43</f>
        <v>61811387</v>
      </c>
      <c r="CA43">
        <f>Table!BZ43</f>
        <v>62117577</v>
      </c>
    </row>
    <row r="44" spans="1:79" x14ac:dyDescent="0.2">
      <c r="A44">
        <v>37</v>
      </c>
      <c r="B44" t="s">
        <v>48</v>
      </c>
      <c r="CA44">
        <f>Table!BZ44</f>
        <v>59833560</v>
      </c>
    </row>
    <row r="45" spans="1:79" x14ac:dyDescent="0.2">
      <c r="A45">
        <v>38</v>
      </c>
      <c r="B45" t="s">
        <v>49</v>
      </c>
      <c r="CA45">
        <f>Table!BZ45</f>
        <v>2284017</v>
      </c>
    </row>
    <row r="46" spans="1:79" x14ac:dyDescent="0.2">
      <c r="B46" t="s">
        <v>15</v>
      </c>
      <c r="CA46">
        <f>Table!BZ46</f>
        <v>0</v>
      </c>
    </row>
    <row r="47" spans="1:79" x14ac:dyDescent="0.2">
      <c r="A47">
        <v>39</v>
      </c>
      <c r="B47" t="s">
        <v>16</v>
      </c>
      <c r="CA47">
        <f>Table!BZ47</f>
        <v>17837242</v>
      </c>
    </row>
    <row r="48" spans="1:79" x14ac:dyDescent="0.2">
      <c r="A48">
        <v>40</v>
      </c>
      <c r="B48" t="s">
        <v>17</v>
      </c>
      <c r="D48">
        <f>Table!C48</f>
        <v>2595071</v>
      </c>
      <c r="E48">
        <f>Table!D48</f>
        <v>2570765</v>
      </c>
      <c r="F48">
        <f>Table!E48</f>
        <v>2718977</v>
      </c>
      <c r="G48">
        <f>Table!F48</f>
        <v>2895531</v>
      </c>
      <c r="H48">
        <f>Table!G48</f>
        <v>2945578</v>
      </c>
      <c r="I48">
        <f>Table!H48</f>
        <v>3159356</v>
      </c>
      <c r="J48">
        <f>Table!I48</f>
        <v>3254660</v>
      </c>
      <c r="K48">
        <f>Table!J48</f>
        <v>3097513</v>
      </c>
      <c r="L48">
        <f>Table!K48</f>
        <v>2843693</v>
      </c>
      <c r="M48">
        <f>Table!L48</f>
        <v>2788247</v>
      </c>
      <c r="N48">
        <f>Table!M48</f>
        <v>2582770</v>
      </c>
      <c r="O48">
        <f>Table!N48</f>
        <v>2000508</v>
      </c>
      <c r="P48">
        <f>Table!O48</f>
        <v>1749039</v>
      </c>
      <c r="Q48">
        <f>Table!P48</f>
        <v>2024467</v>
      </c>
      <c r="R48">
        <f>Table!Q48</f>
        <v>2361405</v>
      </c>
      <c r="S48">
        <f>Table!R48</f>
        <v>2513901</v>
      </c>
      <c r="T48">
        <f>Table!S48</f>
        <v>2645400</v>
      </c>
      <c r="U48">
        <f>Table!T48</f>
        <v>2330094</v>
      </c>
      <c r="V48">
        <f>Table!U48</f>
        <v>2635958</v>
      </c>
      <c r="W48">
        <f>Table!V48</f>
        <v>2927753</v>
      </c>
      <c r="X48">
        <f>Table!W48</f>
        <v>3094281</v>
      </c>
      <c r="Y48">
        <f>Table!X48</f>
        <v>3109545</v>
      </c>
      <c r="Z48">
        <f>Table!Y48</f>
        <v>2687032</v>
      </c>
      <c r="AA48">
        <f>Table!Z48</f>
        <v>2968362</v>
      </c>
      <c r="AB48">
        <f>Table!AA48</f>
        <v>3317666</v>
      </c>
      <c r="AC48">
        <f>Table!AB48</f>
        <v>3243648</v>
      </c>
      <c r="AD48">
        <f>Table!AC48</f>
        <v>3431446</v>
      </c>
      <c r="AE48">
        <f>Table!AD48</f>
        <v>3415843</v>
      </c>
      <c r="AF48">
        <f>Table!AE48</f>
        <v>3753579</v>
      </c>
      <c r="AG48">
        <f>Table!AF48</f>
        <v>3849140</v>
      </c>
      <c r="AH48">
        <f>Table!AG48</f>
        <v>4044256</v>
      </c>
      <c r="AI48">
        <f>Table!AH48</f>
        <v>4443216</v>
      </c>
      <c r="AJ48">
        <f>Table!AI48</f>
        <v>4389794</v>
      </c>
      <c r="AK48">
        <f>Table!AJ48</f>
        <v>4621127</v>
      </c>
      <c r="AL48">
        <f>Table!AK48</f>
        <v>4655714</v>
      </c>
      <c r="AM48">
        <f>Table!AL48</f>
        <v>4895752</v>
      </c>
      <c r="AN48">
        <f>Table!AM48</f>
        <v>5077375</v>
      </c>
      <c r="AO48">
        <f>Table!AN48</f>
        <v>5098151</v>
      </c>
      <c r="AP48">
        <f>Table!AO48</f>
        <v>4773045</v>
      </c>
      <c r="AQ48">
        <f>Table!AP48</f>
        <v>5110389</v>
      </c>
      <c r="AR48">
        <f>Table!AQ48</f>
        <v>5208685</v>
      </c>
      <c r="AS48">
        <f>Table!AR48</f>
        <v>5409046</v>
      </c>
      <c r="AT48">
        <f>Table!AS48</f>
        <v>5651118</v>
      </c>
      <c r="AU48">
        <f>Table!AT48</f>
        <v>5823354</v>
      </c>
      <c r="AV48">
        <f>Table!AU48</f>
        <v>6201924</v>
      </c>
      <c r="AW48">
        <f>Table!AV48</f>
        <v>6400410</v>
      </c>
      <c r="AX48">
        <f>Table!AW48</f>
        <v>6689764</v>
      </c>
      <c r="AY48">
        <f>Table!AX48</f>
        <v>7115858</v>
      </c>
      <c r="AZ48">
        <f>Table!AY48</f>
        <v>7042226</v>
      </c>
      <c r="BA48">
        <f>Table!AZ48</f>
        <v>7237920</v>
      </c>
      <c r="BB48">
        <f>Table!BA48</f>
        <v>7807010</v>
      </c>
      <c r="BC48">
        <f>Table!BB48</f>
        <v>6745536</v>
      </c>
      <c r="BD48">
        <f>Table!BC48</f>
        <v>7660183</v>
      </c>
      <c r="BE48">
        <f>Table!BD48</f>
        <v>7974772</v>
      </c>
      <c r="BF48">
        <f>Table!BE48</f>
        <v>8075327</v>
      </c>
      <c r="BG48">
        <f>Table!BF48</f>
        <v>8790514</v>
      </c>
      <c r="BH48">
        <f>Table!BG48</f>
        <v>7018103</v>
      </c>
      <c r="BI48">
        <f>Table!BH48</f>
        <v>8428289</v>
      </c>
      <c r="BJ48">
        <f>Table!BI48</f>
        <v>9162839</v>
      </c>
      <c r="BK48">
        <f>Table!BJ48</f>
        <v>10262872</v>
      </c>
      <c r="BL48">
        <f>Table!BK48</f>
        <v>10865701</v>
      </c>
      <c r="BM48">
        <f>Table!BL48</f>
        <v>11807304</v>
      </c>
      <c r="BN48">
        <f>Table!BM48</f>
        <v>11875369</v>
      </c>
      <c r="BO48">
        <f>Table!BN48</f>
        <v>13163847</v>
      </c>
      <c r="BP48">
        <f>Table!BO48</f>
        <v>12457231</v>
      </c>
      <c r="BQ48">
        <f>Table!BP48</f>
        <v>10363441</v>
      </c>
      <c r="BR48">
        <f>Table!BQ48</f>
        <v>9778479</v>
      </c>
      <c r="BS48">
        <f>Table!BR48</f>
        <v>10466919</v>
      </c>
      <c r="BT48">
        <f>Table!BS48</f>
        <v>11237929</v>
      </c>
      <c r="BU48">
        <f>Table!BT48</f>
        <v>12151687</v>
      </c>
      <c r="BV48">
        <f>Table!BU48</f>
        <v>11680915</v>
      </c>
      <c r="BW48">
        <f>Table!BV48</f>
        <v>12978946</v>
      </c>
      <c r="BX48">
        <f>Table!BW48</f>
        <v>14221402</v>
      </c>
      <c r="BY48">
        <f>Table!BX48</f>
        <v>14769015</v>
      </c>
      <c r="BZ48">
        <f>Table!BY48</f>
        <v>15582513</v>
      </c>
      <c r="CA48">
        <f>Table!BZ48</f>
        <v>15882864</v>
      </c>
    </row>
    <row r="49" spans="1:79" x14ac:dyDescent="0.2">
      <c r="A49">
        <v>41</v>
      </c>
      <c r="B49" t="s">
        <v>18</v>
      </c>
      <c r="D49">
        <f>Table!C49</f>
        <v>792148</v>
      </c>
      <c r="E49">
        <f>Table!D49</f>
        <v>832147</v>
      </c>
      <c r="F49">
        <f>Table!E49</f>
        <v>852164</v>
      </c>
      <c r="G49">
        <f>Table!F49</f>
        <v>857071</v>
      </c>
      <c r="H49">
        <f>Table!G49</f>
        <v>914043</v>
      </c>
      <c r="I49">
        <f>Table!H49</f>
        <v>941614</v>
      </c>
      <c r="J49">
        <f>Table!I49</f>
        <v>984588</v>
      </c>
      <c r="K49">
        <f>Table!J49</f>
        <v>1036726</v>
      </c>
      <c r="L49">
        <f>Table!K49</f>
        <v>1074009</v>
      </c>
      <c r="M49">
        <f>Table!L49</f>
        <v>1123578</v>
      </c>
      <c r="N49">
        <f>Table!M49</f>
        <v>1129366</v>
      </c>
      <c r="O49">
        <f>Table!N49</f>
        <v>1090732</v>
      </c>
      <c r="P49">
        <f>Table!O49</f>
        <v>1090891</v>
      </c>
      <c r="Q49">
        <f>Table!P49</f>
        <v>1116820</v>
      </c>
      <c r="R49">
        <f>Table!Q49</f>
        <v>1136301</v>
      </c>
      <c r="S49">
        <f>Table!R49</f>
        <v>1104729</v>
      </c>
      <c r="T49">
        <f>Table!S49</f>
        <v>1123642</v>
      </c>
      <c r="U49">
        <f>Table!T49</f>
        <v>1126527</v>
      </c>
      <c r="V49">
        <f>Table!U49</f>
        <v>1153937</v>
      </c>
      <c r="W49">
        <f>Table!V49</f>
        <v>1171344</v>
      </c>
      <c r="X49">
        <f>Table!W49</f>
        <v>1188805</v>
      </c>
      <c r="Y49">
        <f>Table!X49</f>
        <v>1206755</v>
      </c>
      <c r="Z49">
        <f>Table!Y49</f>
        <v>1220430</v>
      </c>
      <c r="AA49">
        <f>Table!Z49</f>
        <v>1230863</v>
      </c>
      <c r="AB49">
        <f>Table!AA49</f>
        <v>1215763</v>
      </c>
      <c r="AC49">
        <f>Table!AB49</f>
        <v>1246898</v>
      </c>
      <c r="AD49">
        <f>Table!AC49</f>
        <v>1254927</v>
      </c>
      <c r="AE49">
        <f>Table!AD49</f>
        <v>1246591</v>
      </c>
      <c r="AF49">
        <f>Table!AE49</f>
        <v>1296346</v>
      </c>
      <c r="AG49">
        <f>Table!AF49</f>
        <v>1332024</v>
      </c>
      <c r="AH49">
        <f>Table!AG49</f>
        <v>1352703</v>
      </c>
      <c r="AI49">
        <f>Table!AH49</f>
        <v>1371719</v>
      </c>
      <c r="AJ49">
        <f>Table!AI49</f>
        <v>1386545</v>
      </c>
      <c r="AK49">
        <f>Table!AJ49</f>
        <v>1401390</v>
      </c>
      <c r="AL49">
        <f>Table!AK49</f>
        <v>1457415</v>
      </c>
      <c r="AM49">
        <f>Table!AL49</f>
        <v>1483141</v>
      </c>
      <c r="AN49">
        <f>Table!AM49</f>
        <v>1564227</v>
      </c>
      <c r="AO49">
        <f>Table!AN49</f>
        <v>1602980</v>
      </c>
      <c r="AP49">
        <f>Table!AO49</f>
        <v>1610761</v>
      </c>
      <c r="AQ49">
        <f>Table!AP49</f>
        <v>1618831</v>
      </c>
      <c r="AR49">
        <f>Table!AQ49</f>
        <v>1617631</v>
      </c>
      <c r="AS49">
        <f>Table!AR49</f>
        <v>1664310</v>
      </c>
      <c r="AT49">
        <f>Table!AS49</f>
        <v>1725826</v>
      </c>
      <c r="AU49">
        <f>Table!AT49</f>
        <v>1687163</v>
      </c>
      <c r="AV49">
        <f>Table!AU49</f>
        <v>1691357</v>
      </c>
      <c r="AW49">
        <f>Table!AV49</f>
        <v>1699635</v>
      </c>
      <c r="AX49">
        <f>Table!AW49</f>
        <v>1722084</v>
      </c>
      <c r="AY49">
        <f>Table!AX49</f>
        <v>1719394</v>
      </c>
      <c r="AZ49">
        <f>Table!AY49</f>
        <v>1726638</v>
      </c>
      <c r="BA49">
        <f>Table!AZ49</f>
        <v>1682883</v>
      </c>
      <c r="BB49">
        <f>Table!BA49</f>
        <v>1712041</v>
      </c>
      <c r="BC49">
        <f>Table!BB49</f>
        <v>1647981</v>
      </c>
      <c r="BD49">
        <f>Table!BC49</f>
        <v>1638867</v>
      </c>
      <c r="BE49">
        <f>Table!BD49</f>
        <v>1676196</v>
      </c>
      <c r="BF49">
        <f>Table!BE49</f>
        <v>1693896</v>
      </c>
      <c r="BG49">
        <f>Table!BF49</f>
        <v>1664214</v>
      </c>
      <c r="BH49">
        <f>Table!BG49</f>
        <v>1656028</v>
      </c>
      <c r="BI49">
        <f>Table!BH49</f>
        <v>1565481</v>
      </c>
      <c r="BJ49">
        <f>Table!BI49</f>
        <v>1647147</v>
      </c>
      <c r="BK49">
        <f>Table!BJ49</f>
        <v>1612709</v>
      </c>
      <c r="BL49">
        <f>Table!BK49</f>
        <v>1618855</v>
      </c>
      <c r="BM49">
        <f>Table!BL49</f>
        <v>1639305</v>
      </c>
      <c r="BN49">
        <f>Table!BM49</f>
        <v>1687846</v>
      </c>
      <c r="BO49">
        <f>Table!BN49</f>
        <v>1702073</v>
      </c>
      <c r="BP49">
        <f>Table!BO49</f>
        <v>1731305</v>
      </c>
      <c r="BQ49">
        <f>Table!BP49</f>
        <v>1709686</v>
      </c>
      <c r="BR49">
        <f>Table!BQ49</f>
        <v>1755890</v>
      </c>
      <c r="BS49">
        <f>Table!BR49</f>
        <v>1768264</v>
      </c>
      <c r="BT49">
        <f>Table!BS49</f>
        <v>1773479</v>
      </c>
      <c r="BU49">
        <f>Table!BT49</f>
        <v>1803911</v>
      </c>
      <c r="BV49">
        <f>Table!BU49</f>
        <v>1804331</v>
      </c>
      <c r="BW49">
        <f>Table!BV49</f>
        <v>1830148</v>
      </c>
      <c r="BX49">
        <f>Table!BW49</f>
        <v>1852327</v>
      </c>
      <c r="BY49">
        <f>Table!BX49</f>
        <v>1925455</v>
      </c>
      <c r="BZ49">
        <f>Table!BY49</f>
        <v>1959104</v>
      </c>
      <c r="CA49">
        <f>Table!BZ49</f>
        <v>1954378</v>
      </c>
    </row>
    <row r="50" spans="1:79" x14ac:dyDescent="0.2">
      <c r="A50">
        <v>42</v>
      </c>
      <c r="B50" t="s">
        <v>19</v>
      </c>
    </row>
    <row r="51" spans="1:79" x14ac:dyDescent="0.2">
      <c r="A51">
        <v>43</v>
      </c>
      <c r="B51" t="s">
        <v>20</v>
      </c>
      <c r="D51">
        <f>Table!C51</f>
        <v>2454992</v>
      </c>
      <c r="E51">
        <f>Table!D51</f>
        <v>2431169</v>
      </c>
      <c r="F51">
        <f>Table!E51</f>
        <v>2599784</v>
      </c>
      <c r="G51">
        <f>Table!F51</f>
        <v>2791893</v>
      </c>
      <c r="H51">
        <f>Table!G51</f>
        <v>2848797</v>
      </c>
      <c r="I51">
        <f>Table!H51</f>
        <v>3129523</v>
      </c>
      <c r="J51">
        <f>Table!I51</f>
        <v>3222228</v>
      </c>
      <c r="K51">
        <f>Table!J51</f>
        <v>3231651</v>
      </c>
      <c r="L51">
        <f>Table!K51</f>
        <v>3011024</v>
      </c>
      <c r="M51">
        <f>Table!L51</f>
        <v>2969288</v>
      </c>
      <c r="N51">
        <f>Table!M51</f>
        <v>2731517</v>
      </c>
      <c r="O51">
        <f>Table!N51</f>
        <v>2132433</v>
      </c>
      <c r="P51">
        <f>Table!O51</f>
        <v>1904734</v>
      </c>
      <c r="Q51">
        <f>Table!P51</f>
        <v>2252181</v>
      </c>
      <c r="R51">
        <f>Table!Q51</f>
        <v>2688029</v>
      </c>
      <c r="S51">
        <f>Table!R51</f>
        <v>2917681</v>
      </c>
      <c r="T51">
        <f>Table!S51</f>
        <v>3137639</v>
      </c>
      <c r="U51">
        <f>Table!T51</f>
        <v>2814256</v>
      </c>
      <c r="V51">
        <f>Table!U51</f>
        <v>3169658</v>
      </c>
      <c r="W51">
        <f>Table!V51</f>
        <v>3545769</v>
      </c>
      <c r="X51">
        <f>Table!W51</f>
        <v>3793751</v>
      </c>
      <c r="Y51">
        <f>Table!X51</f>
        <v>3829897</v>
      </c>
      <c r="Z51">
        <f>Table!Y51</f>
        <v>3366482</v>
      </c>
      <c r="AA51">
        <f>Table!Z51</f>
        <v>3841901</v>
      </c>
      <c r="AB51">
        <f>Table!AA51</f>
        <v>4355167</v>
      </c>
      <c r="AC51">
        <f>Table!AB51</f>
        <v>4261853</v>
      </c>
      <c r="AD51">
        <f>Table!AC51</f>
        <v>4508580</v>
      </c>
      <c r="AE51">
        <f>Table!AD51</f>
        <v>4545361</v>
      </c>
      <c r="AF51">
        <f>Table!AE51</f>
        <v>5000428</v>
      </c>
      <c r="AG51">
        <f>Table!AF51</f>
        <v>5076822</v>
      </c>
      <c r="AH51">
        <f>Table!AG51</f>
        <v>5406318</v>
      </c>
      <c r="AI51">
        <f>Table!AH51</f>
        <v>5864600</v>
      </c>
      <c r="AJ51">
        <f>Table!AI51</f>
        <v>6051072</v>
      </c>
      <c r="AK51">
        <f>Table!AJ51</f>
        <v>6352073</v>
      </c>
      <c r="AL51">
        <f>Table!AK51</f>
        <v>6436702</v>
      </c>
      <c r="AM51">
        <f>Table!AL51</f>
        <v>6642507</v>
      </c>
      <c r="AN51">
        <f>Table!AM51</f>
        <v>6728462</v>
      </c>
      <c r="AO51">
        <f>Table!AN51</f>
        <v>6659703</v>
      </c>
      <c r="AP51">
        <f>Table!AO51</f>
        <v>6094427</v>
      </c>
      <c r="AQ51">
        <f>Table!AP51</f>
        <v>6209080</v>
      </c>
      <c r="AR51">
        <f>Table!AQ51</f>
        <v>6138131</v>
      </c>
      <c r="AS51">
        <f>Table!AR51</f>
        <v>6185650</v>
      </c>
      <c r="AT51">
        <f>Table!AS51</f>
        <v>6489070</v>
      </c>
      <c r="AU51">
        <f>Table!AT51</f>
        <v>6570218</v>
      </c>
      <c r="AV51">
        <f>Table!AU51</f>
        <v>7008686</v>
      </c>
      <c r="AW51">
        <f>Table!AV51</f>
        <v>7190983</v>
      </c>
      <c r="AX51">
        <f>Table!AW51</f>
        <v>7550790</v>
      </c>
      <c r="AY51">
        <f>Table!AX51</f>
        <v>7941551</v>
      </c>
      <c r="AZ51">
        <f>Table!AY51</f>
        <v>7980926</v>
      </c>
      <c r="BA51">
        <f>Table!AZ51</f>
        <v>8144340</v>
      </c>
      <c r="BB51">
        <f>Table!BA51</f>
        <v>8529094</v>
      </c>
      <c r="BC51">
        <f>Table!BB51</f>
        <v>7539222</v>
      </c>
      <c r="BD51">
        <f>Table!BC51</f>
        <v>8264823</v>
      </c>
      <c r="BE51">
        <f>Table!BD51</f>
        <v>8610341</v>
      </c>
      <c r="BF51">
        <f>Table!BE51</f>
        <v>8646374</v>
      </c>
      <c r="BG51">
        <f>Table!BF51</f>
        <v>9296241</v>
      </c>
      <c r="BH51">
        <f>Table!BG51</f>
        <v>7772135</v>
      </c>
      <c r="BI51">
        <f>Table!BH51</f>
        <v>9320740</v>
      </c>
      <c r="BJ51">
        <f>Table!BI51</f>
        <v>10235520</v>
      </c>
      <c r="BK51">
        <f>Table!BJ51</f>
        <v>11834628</v>
      </c>
      <c r="BL51">
        <f>Table!BK51</f>
        <v>12621887</v>
      </c>
      <c r="BM51">
        <f>Table!BL51</f>
        <v>13711792</v>
      </c>
      <c r="BN51">
        <f>Table!BM51</f>
        <v>13775638</v>
      </c>
      <c r="BO51">
        <f>Table!BN51</f>
        <v>15250615</v>
      </c>
      <c r="BP51">
        <f>Table!BO51</f>
        <v>14347331</v>
      </c>
      <c r="BQ51">
        <f>Table!BP51</f>
        <v>12185954</v>
      </c>
      <c r="BR51">
        <f>Table!BQ51</f>
        <v>11532884</v>
      </c>
      <c r="BS51">
        <f>Table!BR51</f>
        <v>12126970</v>
      </c>
      <c r="BT51">
        <f>Table!BS51</f>
        <v>12854344</v>
      </c>
      <c r="BU51">
        <f>Table!BT51</f>
        <v>13724747</v>
      </c>
      <c r="BV51">
        <f>Table!BU51</f>
        <v>13397628</v>
      </c>
      <c r="BW51">
        <f>Table!BV51</f>
        <v>14736519</v>
      </c>
      <c r="BX51">
        <f>Table!BW51</f>
        <v>16122326</v>
      </c>
      <c r="BY51">
        <f>Table!BX51</f>
        <v>16688579</v>
      </c>
      <c r="BZ51">
        <f>Table!BY51</f>
        <v>17767817</v>
      </c>
      <c r="CA51">
        <f>Table!BZ51</f>
        <v>18443342</v>
      </c>
    </row>
    <row r="52" spans="1:79" x14ac:dyDescent="0.2">
      <c r="A52">
        <v>44</v>
      </c>
      <c r="B52" t="s">
        <v>21</v>
      </c>
      <c r="D52">
        <f>Table!C52</f>
        <v>5147535</v>
      </c>
      <c r="E52">
        <f>Table!D52</f>
        <v>5360261</v>
      </c>
      <c r="F52">
        <f>Table!E52</f>
        <v>5742448</v>
      </c>
      <c r="G52">
        <f>Table!F52</f>
        <v>6051630</v>
      </c>
      <c r="H52">
        <f>Table!G52</f>
        <v>6422932</v>
      </c>
      <c r="I52">
        <f>Table!H52</f>
        <v>6650961</v>
      </c>
      <c r="J52">
        <f>Table!I52</f>
        <v>6810882</v>
      </c>
      <c r="K52">
        <f>Table!J52</f>
        <v>7095323</v>
      </c>
      <c r="L52">
        <f>Table!K52</f>
        <v>7357632</v>
      </c>
      <c r="M52">
        <f>Table!L52</f>
        <v>7358274</v>
      </c>
      <c r="N52">
        <f>Table!M52</f>
        <v>7147051</v>
      </c>
      <c r="O52">
        <f>Table!N52</f>
        <v>7343440</v>
      </c>
      <c r="P52">
        <f>Table!O52</f>
        <v>7263418</v>
      </c>
      <c r="Q52">
        <f>Table!P52</f>
        <v>7380974</v>
      </c>
      <c r="R52">
        <f>Table!Q52</f>
        <v>7563074</v>
      </c>
      <c r="S52">
        <f>Table!R52</f>
        <v>7545553</v>
      </c>
      <c r="T52">
        <f>Table!S52</f>
        <v>7673194</v>
      </c>
      <c r="U52">
        <f>Table!T52</f>
        <v>7870077</v>
      </c>
      <c r="V52">
        <f>Table!U52</f>
        <v>8358012</v>
      </c>
      <c r="W52">
        <f>Table!V52</f>
        <v>8323493</v>
      </c>
      <c r="X52">
        <f>Table!W52</f>
        <v>8422137</v>
      </c>
      <c r="Y52">
        <f>Table!X52</f>
        <v>8602819</v>
      </c>
      <c r="Z52">
        <f>Table!Y52</f>
        <v>8846210</v>
      </c>
      <c r="AA52">
        <f>Table!Z52</f>
        <v>8805342</v>
      </c>
      <c r="AB52">
        <f>Table!AA52</f>
        <v>8968161</v>
      </c>
      <c r="AC52">
        <f>Table!AB52</f>
        <v>9035671</v>
      </c>
      <c r="AD52">
        <f>Table!AC52</f>
        <v>9305446</v>
      </c>
      <c r="AE52">
        <f>Table!AD52</f>
        <v>9433504</v>
      </c>
      <c r="AF52">
        <f>Table!AE52</f>
        <v>9569168</v>
      </c>
      <c r="AG52">
        <f>Table!AF52</f>
        <v>9356230</v>
      </c>
      <c r="AH52">
        <f>Table!AG52</f>
        <v>9487270</v>
      </c>
      <c r="AI52">
        <f>Table!AH52</f>
        <v>9676651</v>
      </c>
      <c r="AJ52">
        <f>Table!AI52</f>
        <v>9885208</v>
      </c>
      <c r="AK52">
        <f>Table!AJ52</f>
        <v>10069397</v>
      </c>
      <c r="AL52">
        <f>Table!AK52</f>
        <v>10131704</v>
      </c>
      <c r="AM52">
        <f>Table!AL52</f>
        <v>10279279</v>
      </c>
      <c r="AN52">
        <f>Table!AM52</f>
        <v>10406597</v>
      </c>
      <c r="AO52">
        <f>Table!AN52</f>
        <v>10504066</v>
      </c>
      <c r="AP52">
        <f>Table!AO52</f>
        <v>10418525</v>
      </c>
      <c r="AQ52">
        <f>Table!AP52</f>
        <v>10436766</v>
      </c>
      <c r="AR52">
        <f>Table!AQ52</f>
        <v>10739892</v>
      </c>
      <c r="AS52">
        <f>Table!AR52</f>
        <v>10964861</v>
      </c>
      <c r="AT52">
        <f>Table!AS52</f>
        <v>11022352</v>
      </c>
      <c r="AU52">
        <f>Table!AT52</f>
        <v>10789745</v>
      </c>
      <c r="AV52">
        <f>Table!AU52</f>
        <v>10898642</v>
      </c>
      <c r="AW52">
        <f>Table!AV52</f>
        <v>11253230</v>
      </c>
      <c r="AX52">
        <f>Table!AW52</f>
        <v>11488616</v>
      </c>
      <c r="AY52">
        <f>Table!AX52</f>
        <v>11456735</v>
      </c>
      <c r="AZ52">
        <f>Table!AY52</f>
        <v>11410533</v>
      </c>
      <c r="BA52">
        <f>Table!AZ52</f>
        <v>11316896</v>
      </c>
      <c r="BB52">
        <f>Table!BA52</f>
        <v>11328361</v>
      </c>
      <c r="BC52">
        <f>Table!BB52</f>
        <v>11304934</v>
      </c>
      <c r="BD52">
        <f>Table!BC52</f>
        <v>11695892</v>
      </c>
      <c r="BE52">
        <f>Table!BD52</f>
        <v>11928998</v>
      </c>
      <c r="BF52">
        <f>Table!BE52</f>
        <v>12432073</v>
      </c>
      <c r="BG52">
        <f>Table!BF52</f>
        <v>12467326</v>
      </c>
      <c r="BH52">
        <f>Table!BG52</f>
        <v>12463197</v>
      </c>
      <c r="BI52">
        <f>Table!BH52</f>
        <v>13067727</v>
      </c>
      <c r="BJ52">
        <f>Table!BI52</f>
        <v>13149001</v>
      </c>
      <c r="BK52">
        <f>Table!BJ52</f>
        <v>13337278</v>
      </c>
      <c r="BL52">
        <f>Table!BK52</f>
        <v>13179268</v>
      </c>
      <c r="BM52">
        <f>Table!BL52</f>
        <v>13528443</v>
      </c>
      <c r="BN52">
        <f>Table!BM52</f>
        <v>13543116</v>
      </c>
      <c r="BO52">
        <f>Table!BN52</f>
        <v>13720990</v>
      </c>
      <c r="BP52">
        <f>Table!BO52</f>
        <v>13324318</v>
      </c>
      <c r="BQ52">
        <f>Table!BP52</f>
        <v>12772420</v>
      </c>
      <c r="BR52">
        <f>Table!BQ52</f>
        <v>12405712</v>
      </c>
      <c r="BS52">
        <f>Table!BR52</f>
        <v>12588264</v>
      </c>
      <c r="BT52">
        <f>Table!BS52</f>
        <v>13009743</v>
      </c>
      <c r="BU52">
        <f>Table!BT52</f>
        <v>13175472</v>
      </c>
      <c r="BV52">
        <f>Table!BU52</f>
        <v>13167952</v>
      </c>
      <c r="BW52">
        <f>Table!BV52</f>
        <v>13880266</v>
      </c>
      <c r="BX52">
        <f>Table!BW52</f>
        <v>14098628</v>
      </c>
      <c r="BY52">
        <f>Table!BX52</f>
        <v>14215397</v>
      </c>
      <c r="BZ52">
        <f>Table!BY52</f>
        <v>14961458</v>
      </c>
      <c r="CA52">
        <f>Table!BZ52</f>
        <v>14643526</v>
      </c>
    </row>
    <row r="53" spans="1:79" x14ac:dyDescent="0.2">
      <c r="A53">
        <v>45</v>
      </c>
      <c r="B53" t="s">
        <v>22</v>
      </c>
    </row>
    <row r="54" spans="1:79" x14ac:dyDescent="0.2">
      <c r="A54">
        <v>46</v>
      </c>
      <c r="B54" t="s">
        <v>50</v>
      </c>
      <c r="D54">
        <f>Table!C54</f>
        <v>283078</v>
      </c>
      <c r="E54">
        <f>Table!D54</f>
        <v>253270</v>
      </c>
      <c r="F54">
        <f>Table!E54</f>
        <v>244681</v>
      </c>
      <c r="G54">
        <f>Table!F54</f>
        <v>253331</v>
      </c>
      <c r="H54">
        <f>Table!G54</f>
        <v>279615</v>
      </c>
      <c r="I54">
        <f>Table!H54</f>
        <v>228764</v>
      </c>
      <c r="J54">
        <f>Table!I54</f>
        <v>262209</v>
      </c>
      <c r="K54">
        <f>Table!J54</f>
        <v>302698</v>
      </c>
      <c r="L54">
        <f>Table!K54</f>
        <v>355671</v>
      </c>
      <c r="M54">
        <f>Table!L54</f>
        <v>376743</v>
      </c>
      <c r="N54">
        <f>Table!M54</f>
        <v>504793</v>
      </c>
      <c r="O54">
        <f>Table!N54</f>
        <v>758010</v>
      </c>
      <c r="P54">
        <f>Table!O54</f>
        <v>858614</v>
      </c>
      <c r="Q54">
        <f>Table!P54</f>
        <v>856841</v>
      </c>
      <c r="R54">
        <f>Table!Q54</f>
        <v>862615</v>
      </c>
      <c r="S54">
        <f>Table!R54</f>
        <v>750437</v>
      </c>
      <c r="T54">
        <f>Table!S54</f>
        <v>725805</v>
      </c>
      <c r="U54">
        <f>Table!T54</f>
        <v>726862</v>
      </c>
      <c r="V54">
        <f>Table!U54</f>
        <v>747492</v>
      </c>
      <c r="W54">
        <f>Table!V54</f>
        <v>710280</v>
      </c>
      <c r="X54">
        <f>Table!W54</f>
        <v>664932</v>
      </c>
      <c r="Y54">
        <f>Table!X54</f>
        <v>641382</v>
      </c>
      <c r="Z54">
        <f>Table!Y54</f>
        <v>635127</v>
      </c>
      <c r="AA54">
        <f>Table!Z54</f>
        <v>647673</v>
      </c>
      <c r="AB54">
        <f>Table!AA54</f>
        <v>634173</v>
      </c>
      <c r="AC54">
        <f>Table!AB54</f>
        <v>630097</v>
      </c>
      <c r="AD54">
        <f>Table!AC54</f>
        <v>679051</v>
      </c>
      <c r="AE54">
        <f>Table!AD54</f>
        <v>661654</v>
      </c>
      <c r="AF54">
        <f>Table!AE54</f>
        <v>720235</v>
      </c>
      <c r="AG54">
        <f>Table!AF54</f>
        <v>675367</v>
      </c>
      <c r="AH54">
        <f>Table!AG54</f>
        <v>645031</v>
      </c>
      <c r="AI54">
        <f>Table!AH54</f>
        <v>685527</v>
      </c>
      <c r="AJ54">
        <f>Table!AI54</f>
        <v>689327</v>
      </c>
      <c r="AK54">
        <f>Table!AJ54</f>
        <v>627612</v>
      </c>
      <c r="AL54">
        <f>Table!AK54</f>
        <v>614066</v>
      </c>
      <c r="AM54">
        <f>Table!AL54</f>
        <v>671641</v>
      </c>
      <c r="AN54">
        <f>Table!AM54</f>
        <v>702290</v>
      </c>
      <c r="AO54">
        <f>Table!AN54</f>
        <v>701278</v>
      </c>
      <c r="AP54">
        <f>Table!AO54</f>
        <v>667144</v>
      </c>
      <c r="AQ54">
        <f>Table!AP54</f>
        <v>724731</v>
      </c>
      <c r="AR54">
        <f>Table!AQ54</f>
        <v>726608</v>
      </c>
      <c r="AS54">
        <f>Table!AR54</f>
        <v>688156</v>
      </c>
      <c r="AT54">
        <f>Table!AS54</f>
        <v>698788</v>
      </c>
      <c r="AU54">
        <f>Table!AT54</f>
        <v>668867</v>
      </c>
      <c r="AV54">
        <f>Table!AU54</f>
        <v>669184</v>
      </c>
      <c r="AW54">
        <f>Table!AV54</f>
        <v>673004</v>
      </c>
      <c r="AX54">
        <f>Table!AW54</f>
        <v>682136</v>
      </c>
      <c r="AY54">
        <f>Table!AX54</f>
        <v>703141</v>
      </c>
      <c r="AZ54">
        <f>Table!AY54</f>
        <v>717150</v>
      </c>
      <c r="BA54">
        <f>Table!AZ54</f>
        <v>750747</v>
      </c>
      <c r="BB54">
        <f>Table!BA54</f>
        <v>715577</v>
      </c>
      <c r="BC54">
        <f>Table!BB54</f>
        <v>746676</v>
      </c>
      <c r="BD54">
        <f>Table!BC54</f>
        <v>765441</v>
      </c>
      <c r="BE54">
        <f>Table!BD54</f>
        <v>707819</v>
      </c>
      <c r="BF54">
        <f>Table!BE54</f>
        <v>763188</v>
      </c>
      <c r="BG54">
        <f>Table!BF54</f>
        <v>716057</v>
      </c>
      <c r="BH54">
        <f>Table!BG54</f>
        <v>729509</v>
      </c>
      <c r="BI54">
        <f>Table!BH54</f>
        <v>1040649</v>
      </c>
      <c r="BJ54">
        <f>Table!BI54</f>
        <v>1017297</v>
      </c>
      <c r="BK54">
        <f>Table!BJ54</f>
        <v>1027314</v>
      </c>
      <c r="BL54">
        <f>Table!BK54</f>
        <v>966499</v>
      </c>
      <c r="BM54">
        <f>Table!BL54</f>
        <v>926747</v>
      </c>
      <c r="BN54">
        <f>Table!BM54</f>
        <v>928382</v>
      </c>
      <c r="BO54">
        <f>Table!BN54</f>
        <v>987410</v>
      </c>
      <c r="BP54">
        <f>Table!BO54</f>
        <v>1008398</v>
      </c>
      <c r="BQ54">
        <f>Table!BP54</f>
        <v>895437</v>
      </c>
      <c r="BR54">
        <f>Table!BQ54</f>
        <v>919610</v>
      </c>
      <c r="BS54">
        <f>Table!BR54</f>
        <v>949988</v>
      </c>
      <c r="BT54">
        <f>Table!BS54</f>
        <v>962621</v>
      </c>
      <c r="BU54">
        <f>Table!BT54</f>
        <v>962248</v>
      </c>
      <c r="BV54">
        <f>Table!BU54</f>
        <v>1060894</v>
      </c>
      <c r="BW54">
        <f>Table!BV54</f>
        <v>1082660</v>
      </c>
      <c r="BX54">
        <f>Table!BW54</f>
        <v>1090561</v>
      </c>
      <c r="BY54">
        <f>Table!BX54</f>
        <v>1074359</v>
      </c>
      <c r="BZ54">
        <f>Table!BY54</f>
        <v>1170827</v>
      </c>
      <c r="CA54">
        <f>Table!BZ54</f>
        <v>1199566</v>
      </c>
    </row>
    <row r="55" spans="1:79" x14ac:dyDescent="0.2">
      <c r="A55">
        <v>47</v>
      </c>
      <c r="B55" t="s">
        <v>51</v>
      </c>
      <c r="CA55">
        <f>Table!BZ55</f>
        <v>240648</v>
      </c>
    </row>
    <row r="56" spans="1:79" x14ac:dyDescent="0.2">
      <c r="A56">
        <v>48</v>
      </c>
      <c r="B56" t="s">
        <v>23</v>
      </c>
      <c r="CA56">
        <f>Table!BZ56</f>
        <v>13203311</v>
      </c>
    </row>
    <row r="57" spans="1:79" x14ac:dyDescent="0.2">
      <c r="A57">
        <v>49</v>
      </c>
      <c r="B57" t="s">
        <v>52</v>
      </c>
      <c r="D57">
        <f>Table!C57</f>
        <v>1711099</v>
      </c>
      <c r="E57">
        <f>Table!D57</f>
        <v>1726941</v>
      </c>
      <c r="F57">
        <f>Table!E57</f>
        <v>1811861</v>
      </c>
      <c r="G57">
        <f>Table!F57</f>
        <v>1872847</v>
      </c>
      <c r="H57">
        <f>Table!G57</f>
        <v>1942381</v>
      </c>
      <c r="I57">
        <f>Table!H57</f>
        <v>1964881</v>
      </c>
      <c r="J57">
        <f>Table!I57</f>
        <v>1986163</v>
      </c>
      <c r="K57">
        <f>Table!J57</f>
        <v>2073744</v>
      </c>
      <c r="L57">
        <f>Table!K57</f>
        <v>2200862</v>
      </c>
      <c r="M57">
        <f>Table!L57</f>
        <v>2210757</v>
      </c>
      <c r="N57">
        <f>Table!M57</f>
        <v>2329086</v>
      </c>
      <c r="O57">
        <f>Table!N57</f>
        <v>2494964</v>
      </c>
      <c r="P57">
        <f>Table!O57</f>
        <v>2559225</v>
      </c>
      <c r="Q57">
        <f>Table!P57</f>
        <v>2605142</v>
      </c>
      <c r="R57">
        <f>Table!Q57</f>
        <v>2723242</v>
      </c>
      <c r="S57">
        <f>Table!R57</f>
        <v>2920160</v>
      </c>
      <c r="T57">
        <f>Table!S57</f>
        <v>3135897</v>
      </c>
      <c r="U57">
        <f>Table!T57</f>
        <v>3342873</v>
      </c>
      <c r="V57">
        <f>Table!U57</f>
        <v>3661688</v>
      </c>
      <c r="W57">
        <f>Table!V57</f>
        <v>3748544</v>
      </c>
      <c r="X57">
        <f>Table!W57</f>
        <v>3875948</v>
      </c>
      <c r="Y57">
        <f>Table!X57</f>
        <v>4049180</v>
      </c>
      <c r="Z57">
        <f>Table!Y57</f>
        <v>4339272</v>
      </c>
      <c r="AA57">
        <f>Table!Z57</f>
        <v>4356681</v>
      </c>
      <c r="AB57">
        <f>Table!AA57</f>
        <v>4510887</v>
      </c>
      <c r="AC57">
        <f>Table!AB57</f>
        <v>4680774</v>
      </c>
      <c r="AD57">
        <f>Table!AC57</f>
        <v>4793665</v>
      </c>
      <c r="AE57">
        <f>Table!AD57</f>
        <v>4909828</v>
      </c>
      <c r="AF57">
        <f>Table!AE57</f>
        <v>5001076</v>
      </c>
      <c r="AG57">
        <f>Table!AF57</f>
        <v>4919650</v>
      </c>
      <c r="AH57">
        <f>Table!AG57</f>
        <v>5007789</v>
      </c>
      <c r="AI57">
        <f>Table!AH57</f>
        <v>5107089</v>
      </c>
      <c r="AJ57">
        <f>Table!AI57</f>
        <v>5258984</v>
      </c>
      <c r="AK57">
        <f>Table!AJ57</f>
        <v>5391081</v>
      </c>
      <c r="AL57">
        <f>Table!AK57</f>
        <v>5455085</v>
      </c>
      <c r="AM57">
        <f>Table!AL57</f>
        <v>5486325</v>
      </c>
      <c r="AN57">
        <f>Table!AM57</f>
        <v>5470341</v>
      </c>
      <c r="AO57">
        <f>Table!AN57</f>
        <v>5461863</v>
      </c>
      <c r="AP57">
        <f>Table!AO57</f>
        <v>5438741</v>
      </c>
      <c r="AQ57">
        <f>Table!AP57</f>
        <v>5421490</v>
      </c>
      <c r="AR57">
        <f>Table!AQ57</f>
        <v>5557826</v>
      </c>
      <c r="AS57">
        <f>Table!AR57</f>
        <v>5590897</v>
      </c>
      <c r="AT57">
        <f>Table!AS57</f>
        <v>5457087</v>
      </c>
      <c r="AU57">
        <f>Table!AT57</f>
        <v>5333930</v>
      </c>
      <c r="AV57">
        <f>Table!AU57</f>
        <v>5406150</v>
      </c>
      <c r="AW57">
        <f>Table!AV57</f>
        <v>5478902</v>
      </c>
      <c r="AX57">
        <f>Table!AW57</f>
        <v>5619803</v>
      </c>
      <c r="AY57">
        <f>Table!AX57</f>
        <v>5508138</v>
      </c>
      <c r="AZ57">
        <f>Table!AY57</f>
        <v>5506284</v>
      </c>
      <c r="BA57">
        <f>Table!AZ57</f>
        <v>5474268</v>
      </c>
      <c r="BB57">
        <f>Table!BA57</f>
        <v>5510319</v>
      </c>
      <c r="BC57">
        <f>Table!BB57</f>
        <v>5523454</v>
      </c>
      <c r="BD57">
        <f>Table!BC57</f>
        <v>5708558</v>
      </c>
      <c r="BE57">
        <f>Table!BD57</f>
        <v>5918041</v>
      </c>
      <c r="BF57">
        <f>Table!BE57</f>
        <v>6197102</v>
      </c>
      <c r="BG57">
        <f>Table!BF57</f>
        <v>6201765</v>
      </c>
      <c r="BH57">
        <f>Table!BG57</f>
        <v>6330389</v>
      </c>
      <c r="BI57">
        <f>Table!BH57</f>
        <v>6158695</v>
      </c>
      <c r="BJ57">
        <f>Table!BI57</f>
        <v>6235931</v>
      </c>
      <c r="BK57">
        <f>Table!BJ57</f>
        <v>6264252</v>
      </c>
      <c r="BL57">
        <f>Table!BK57</f>
        <v>6329421</v>
      </c>
      <c r="BM57">
        <f>Table!BL57</f>
        <v>6592133</v>
      </c>
      <c r="BN57">
        <f>Table!BM57</f>
        <v>6642514</v>
      </c>
      <c r="BO57">
        <f>Table!BN57</f>
        <v>6752960</v>
      </c>
      <c r="BP57">
        <f>Table!BO57</f>
        <v>6596002</v>
      </c>
      <c r="BQ57">
        <f>Table!BP57</f>
        <v>6521506</v>
      </c>
      <c r="BR57">
        <f>Table!BQ57</f>
        <v>6331898</v>
      </c>
      <c r="BS57">
        <f>Table!BR57</f>
        <v>6344077</v>
      </c>
      <c r="BT57">
        <f>Table!BS57</f>
        <v>6600505</v>
      </c>
      <c r="BU57">
        <f>Table!BT57</f>
        <v>6664902</v>
      </c>
      <c r="BV57">
        <f>Table!BU57</f>
        <v>6549684</v>
      </c>
      <c r="BW57">
        <f>Table!BV57</f>
        <v>6863849</v>
      </c>
      <c r="BX57">
        <f>Table!BW57</f>
        <v>7024275</v>
      </c>
      <c r="BY57">
        <f>Table!BX57</f>
        <v>7136273</v>
      </c>
      <c r="BZ57">
        <f>Table!BY57</f>
        <v>7507658</v>
      </c>
      <c r="CA57">
        <f>Table!BZ57</f>
        <v>7313291</v>
      </c>
    </row>
    <row r="58" spans="1:79" x14ac:dyDescent="0.2">
      <c r="A58">
        <v>50</v>
      </c>
      <c r="B58" t="s">
        <v>53</v>
      </c>
      <c r="D58">
        <f>Table!C58</f>
        <v>2846467</v>
      </c>
      <c r="E58">
        <f>Table!D58</f>
        <v>3005787</v>
      </c>
      <c r="F58">
        <f>Table!E58</f>
        <v>3313960</v>
      </c>
      <c r="G58">
        <f>Table!F58</f>
        <v>3557374</v>
      </c>
      <c r="H58">
        <f>Table!G58</f>
        <v>3811943</v>
      </c>
      <c r="I58">
        <f>Table!H58</f>
        <v>4042723</v>
      </c>
      <c r="J58">
        <f>Table!I58</f>
        <v>4115575</v>
      </c>
      <c r="K58">
        <f>Table!J58</f>
        <v>4221532</v>
      </c>
      <c r="L58">
        <f>Table!K58</f>
        <v>4297351</v>
      </c>
      <c r="M58">
        <f>Table!L58</f>
        <v>4284552</v>
      </c>
      <c r="N58">
        <f>Table!M58</f>
        <v>3880435</v>
      </c>
      <c r="O58">
        <f>Table!N58</f>
        <v>3748688</v>
      </c>
      <c r="P58">
        <f>Table!O58</f>
        <v>3534874</v>
      </c>
      <c r="Q58">
        <f>Table!P58</f>
        <v>3637019</v>
      </c>
      <c r="R58">
        <f>Table!Q58</f>
        <v>3732227</v>
      </c>
      <c r="S58">
        <f>Table!R58</f>
        <v>3647956</v>
      </c>
      <c r="T58">
        <f>Table!S58</f>
        <v>3597062</v>
      </c>
      <c r="U58">
        <f>Table!T58</f>
        <v>3580866</v>
      </c>
      <c r="V58">
        <f>Table!U58</f>
        <v>3725011</v>
      </c>
      <c r="W58">
        <f>Table!V58</f>
        <v>3655679</v>
      </c>
      <c r="X58">
        <f>Table!W58</f>
        <v>3659899</v>
      </c>
      <c r="Y58">
        <f>Table!X58</f>
        <v>3682190</v>
      </c>
      <c r="Z58">
        <f>Table!Y58</f>
        <v>3660084</v>
      </c>
      <c r="AA58">
        <f>Table!Z58</f>
        <v>3617936</v>
      </c>
      <c r="AB58">
        <f>Table!AA58</f>
        <v>3640438</v>
      </c>
      <c r="AC58">
        <f>Table!AB58</f>
        <v>3551049</v>
      </c>
      <c r="AD58">
        <f>Table!AC58</f>
        <v>3657579</v>
      </c>
      <c r="AE58">
        <f>Table!AD58</f>
        <v>3678933</v>
      </c>
      <c r="AF58">
        <f>Table!AE58</f>
        <v>3653589</v>
      </c>
      <c r="AG58">
        <f>Table!AF58</f>
        <v>3554128</v>
      </c>
      <c r="AH58">
        <f>Table!AG58</f>
        <v>3649847</v>
      </c>
      <c r="AI58">
        <f>Table!AH58</f>
        <v>3677916</v>
      </c>
      <c r="AJ58">
        <f>Table!AI58</f>
        <v>3721651</v>
      </c>
      <c r="AK58">
        <f>Table!AJ58</f>
        <v>3798693</v>
      </c>
      <c r="AL58">
        <f>Table!AK58</f>
        <v>3806222</v>
      </c>
      <c r="AM58">
        <f>Table!AL58</f>
        <v>3881099</v>
      </c>
      <c r="AN58">
        <f>Table!AM58</f>
        <v>3989171</v>
      </c>
      <c r="AO58">
        <f>Table!AN58</f>
        <v>4100680</v>
      </c>
      <c r="AP58">
        <f>Table!AO58</f>
        <v>4090304</v>
      </c>
      <c r="AQ58">
        <f>Table!AP58</f>
        <v>4060009</v>
      </c>
      <c r="AR58">
        <f>Table!AQ58</f>
        <v>4233235</v>
      </c>
      <c r="AS58">
        <f>Table!AR58</f>
        <v>4448263</v>
      </c>
      <c r="AT58">
        <f>Table!AS58</f>
        <v>4611764</v>
      </c>
      <c r="AU58">
        <f>Table!AT58</f>
        <v>4513826</v>
      </c>
      <c r="AV58">
        <f>Table!AU58</f>
        <v>4554718</v>
      </c>
      <c r="AW58">
        <f>Table!AV58</f>
        <v>4820856</v>
      </c>
      <c r="AX58">
        <f>Table!AW58</f>
        <v>4934392</v>
      </c>
      <c r="AY58">
        <f>Table!AX58</f>
        <v>4995111</v>
      </c>
      <c r="AZ58">
        <f>Table!AY58</f>
        <v>4918473</v>
      </c>
      <c r="BA58">
        <f>Table!AZ58</f>
        <v>4820243</v>
      </c>
      <c r="BB58">
        <f>Table!BA58</f>
        <v>4849967</v>
      </c>
      <c r="BC58">
        <f>Table!BB58</f>
        <v>4799272</v>
      </c>
      <c r="BD58">
        <f>Table!BC58</f>
        <v>4988419</v>
      </c>
      <c r="BE58">
        <f>Table!BD58</f>
        <v>5084116</v>
      </c>
      <c r="BF58">
        <f>Table!BE58</f>
        <v>5236421</v>
      </c>
      <c r="BG58">
        <f>Table!BF58</f>
        <v>5320510</v>
      </c>
      <c r="BH58">
        <f>Table!BG58</f>
        <v>5207259</v>
      </c>
      <c r="BI58">
        <f>Table!BH58</f>
        <v>5654936</v>
      </c>
      <c r="BJ58">
        <f>Table!BI58</f>
        <v>5696174</v>
      </c>
      <c r="BK58">
        <f>Table!BJ58</f>
        <v>5880556</v>
      </c>
      <c r="BL58">
        <f>Table!BK58</f>
        <v>5714692</v>
      </c>
      <c r="BM58">
        <f>Table!BL58</f>
        <v>5851598</v>
      </c>
      <c r="BN58">
        <f>Table!BM58</f>
        <v>5762110</v>
      </c>
      <c r="BO58">
        <f>Table!BN58</f>
        <v>5775956</v>
      </c>
      <c r="BP58">
        <f>Table!BO58</f>
        <v>5458151</v>
      </c>
      <c r="BQ58">
        <f>Table!BP58</f>
        <v>5116679</v>
      </c>
      <c r="BR58">
        <f>Table!BQ58</f>
        <v>4864986</v>
      </c>
      <c r="BS58">
        <f>Table!BR58</f>
        <v>4989718</v>
      </c>
      <c r="BT58">
        <f>Table!BS58</f>
        <v>5161291</v>
      </c>
      <c r="BU58">
        <f>Table!BT58</f>
        <v>5332468</v>
      </c>
      <c r="BV58">
        <f>Table!BU58</f>
        <v>5332026</v>
      </c>
      <c r="BW58">
        <f>Table!BV58</f>
        <v>5709076</v>
      </c>
      <c r="BX58">
        <f>Table!BW58</f>
        <v>5756902</v>
      </c>
      <c r="BY58">
        <f>Table!BX58</f>
        <v>5775298</v>
      </c>
      <c r="BZ58">
        <f>Table!BY58</f>
        <v>6046622</v>
      </c>
      <c r="CA58">
        <f>Table!BZ58</f>
        <v>5890020</v>
      </c>
    </row>
    <row r="59" spans="1:79" x14ac:dyDescent="0.2">
      <c r="A59">
        <v>51</v>
      </c>
      <c r="B59" t="s">
        <v>54</v>
      </c>
      <c r="CA59">
        <f>Table!BZ59</f>
        <v>2284017</v>
      </c>
    </row>
    <row r="60" spans="1:79" x14ac:dyDescent="0.2">
      <c r="A60">
        <v>52</v>
      </c>
      <c r="B60" t="s">
        <v>25</v>
      </c>
      <c r="CA60">
        <f>Table!BZ60</f>
        <v>2215199</v>
      </c>
    </row>
    <row r="61" spans="1:79" x14ac:dyDescent="0.2">
      <c r="A61">
        <v>53</v>
      </c>
      <c r="B61" t="s">
        <v>26</v>
      </c>
      <c r="CA61">
        <f>Table!BZ61</f>
        <v>1514464</v>
      </c>
    </row>
    <row r="62" spans="1:79" x14ac:dyDescent="0.2">
      <c r="A62">
        <v>54</v>
      </c>
      <c r="B62" t="s">
        <v>27</v>
      </c>
      <c r="CA62">
        <f>Table!BZ62</f>
        <v>502617</v>
      </c>
    </row>
    <row r="63" spans="1:79" x14ac:dyDescent="0.2">
      <c r="A63">
        <v>55</v>
      </c>
      <c r="B63" t="s">
        <v>28</v>
      </c>
      <c r="CA63">
        <f>Table!BZ63</f>
        <v>198118</v>
      </c>
    </row>
    <row r="64" spans="1:79" x14ac:dyDescent="0.2">
      <c r="A64">
        <v>56</v>
      </c>
      <c r="B64" t="s">
        <v>29</v>
      </c>
      <c r="CA64">
        <f>Table!BZ64</f>
        <v>68818</v>
      </c>
    </row>
    <row r="65" spans="1:79" x14ac:dyDescent="0.2">
      <c r="A65">
        <v>57</v>
      </c>
      <c r="B65" t="s">
        <v>30</v>
      </c>
      <c r="CA65">
        <f>Table!BZ65</f>
        <v>8909450</v>
      </c>
    </row>
    <row r="66" spans="1:79" x14ac:dyDescent="0.2">
      <c r="A66">
        <v>58</v>
      </c>
      <c r="B66" t="s">
        <v>31</v>
      </c>
      <c r="CA66" t="str">
        <f>Table!BZ66</f>
        <v>n.a.</v>
      </c>
    </row>
    <row r="67" spans="1:79" x14ac:dyDescent="0.2">
      <c r="A67">
        <v>59</v>
      </c>
      <c r="B67" t="s">
        <v>32</v>
      </c>
      <c r="CA67">
        <f>Table!BZ67</f>
        <v>4425974</v>
      </c>
    </row>
    <row r="68" spans="1:79" x14ac:dyDescent="0.2">
      <c r="A68">
        <v>60</v>
      </c>
      <c r="B68" t="s">
        <v>33</v>
      </c>
      <c r="CA68">
        <f>Table!BZ68</f>
        <v>4017233</v>
      </c>
    </row>
    <row r="69" spans="1:79" x14ac:dyDescent="0.2">
      <c r="A69">
        <v>61</v>
      </c>
      <c r="B69" t="s">
        <v>34</v>
      </c>
      <c r="CA69" t="str">
        <f>Table!BZ69</f>
        <v>n.a.</v>
      </c>
    </row>
    <row r="70" spans="1:79" x14ac:dyDescent="0.2">
      <c r="A70">
        <v>62</v>
      </c>
      <c r="B70" t="s">
        <v>36</v>
      </c>
      <c r="CA70">
        <f>Table!BZ70</f>
        <v>316448</v>
      </c>
    </row>
    <row r="71" spans="1:79" x14ac:dyDescent="0.2">
      <c r="A71">
        <v>63</v>
      </c>
      <c r="B71" t="s">
        <v>55</v>
      </c>
      <c r="CA71">
        <f>Table!BZ71</f>
        <v>149795</v>
      </c>
    </row>
    <row r="72" spans="1:79" x14ac:dyDescent="0.2">
      <c r="CA72">
        <f>Table!BZ72</f>
        <v>0</v>
      </c>
    </row>
    <row r="73" spans="1:79" x14ac:dyDescent="0.2">
      <c r="C73" t="s">
        <v>68</v>
      </c>
      <c r="D73" s="1">
        <v>38777</v>
      </c>
      <c r="E73" s="1">
        <v>38869</v>
      </c>
      <c r="F73" s="1">
        <v>38961</v>
      </c>
      <c r="G73" s="1">
        <v>39052</v>
      </c>
      <c r="H73" s="1">
        <v>39142</v>
      </c>
      <c r="I73" s="1">
        <v>39234</v>
      </c>
      <c r="J73" s="1">
        <v>39326</v>
      </c>
      <c r="K73" s="1">
        <v>39417</v>
      </c>
      <c r="L73" s="1">
        <v>39508</v>
      </c>
      <c r="M73" s="1">
        <v>39600</v>
      </c>
      <c r="N73" s="1">
        <v>39692</v>
      </c>
      <c r="O73" s="1">
        <v>39783</v>
      </c>
      <c r="P73" s="1">
        <v>39873</v>
      </c>
      <c r="Q73" s="1">
        <v>39965</v>
      </c>
      <c r="R73" s="1">
        <v>40057</v>
      </c>
      <c r="S73" s="1">
        <v>40148</v>
      </c>
      <c r="T73" s="1">
        <v>40238</v>
      </c>
      <c r="U73" s="1">
        <v>40330</v>
      </c>
      <c r="V73" s="1">
        <v>40422</v>
      </c>
      <c r="W73" s="1">
        <v>40513</v>
      </c>
      <c r="X73" s="1">
        <v>40603</v>
      </c>
      <c r="Y73" s="1">
        <v>40695</v>
      </c>
      <c r="Z73" s="1">
        <v>40787</v>
      </c>
      <c r="AA73" s="1">
        <v>40878</v>
      </c>
      <c r="AB73" s="1">
        <v>40969</v>
      </c>
      <c r="AC73" s="1">
        <v>41061</v>
      </c>
      <c r="AD73" s="1">
        <v>41153</v>
      </c>
      <c r="AE73" s="1">
        <v>41244</v>
      </c>
      <c r="AF73" s="1">
        <v>41334</v>
      </c>
      <c r="AG73" s="1">
        <v>41426</v>
      </c>
      <c r="AH73" s="1">
        <v>41518</v>
      </c>
      <c r="AI73" s="1">
        <v>41609</v>
      </c>
      <c r="AJ73" s="1">
        <v>41699</v>
      </c>
      <c r="AK73" s="1">
        <v>41791</v>
      </c>
      <c r="AL73" s="1">
        <v>41883</v>
      </c>
      <c r="AM73" s="1">
        <v>41974</v>
      </c>
      <c r="AN73" s="1">
        <v>42064</v>
      </c>
      <c r="AO73" s="1">
        <v>42156</v>
      </c>
      <c r="AP73" s="1">
        <v>42248</v>
      </c>
      <c r="AQ73" s="1">
        <v>42339</v>
      </c>
      <c r="AR73" s="1">
        <v>42430</v>
      </c>
      <c r="AS73" s="1">
        <v>42522</v>
      </c>
      <c r="AT73" s="1">
        <v>42614</v>
      </c>
      <c r="AU73" s="1">
        <v>42705</v>
      </c>
      <c r="AV73" s="1">
        <v>42795</v>
      </c>
      <c r="AW73" s="1">
        <v>42887</v>
      </c>
      <c r="AX73" s="1">
        <v>42979</v>
      </c>
      <c r="AY73" s="1">
        <v>43070</v>
      </c>
      <c r="AZ73" s="1">
        <v>43160</v>
      </c>
      <c r="BA73" s="1">
        <v>43252</v>
      </c>
      <c r="BB73" s="1">
        <v>43344</v>
      </c>
      <c r="BC73" s="1">
        <v>43435</v>
      </c>
      <c r="BD73" s="1">
        <v>43525</v>
      </c>
      <c r="BE73" s="1">
        <v>43617</v>
      </c>
      <c r="BF73" s="1">
        <v>43709</v>
      </c>
      <c r="BG73" s="1">
        <v>43800</v>
      </c>
      <c r="BH73" s="1">
        <v>43891</v>
      </c>
      <c r="BI73" s="1">
        <v>43983</v>
      </c>
      <c r="BJ73" s="1">
        <v>44075</v>
      </c>
      <c r="BK73" s="1">
        <v>44166</v>
      </c>
      <c r="BL73" s="1">
        <v>44256</v>
      </c>
      <c r="BM73" s="1">
        <v>44348</v>
      </c>
      <c r="BN73" s="1">
        <v>44440</v>
      </c>
      <c r="BO73" s="1">
        <v>44531</v>
      </c>
      <c r="BP73" s="1">
        <v>44621</v>
      </c>
      <c r="BQ73" s="1">
        <v>44713</v>
      </c>
      <c r="BR73" s="1">
        <v>44805</v>
      </c>
      <c r="BS73" s="1">
        <v>44896</v>
      </c>
      <c r="BT73" s="1">
        <v>44986</v>
      </c>
      <c r="BU73" s="1">
        <v>45078</v>
      </c>
      <c r="BV73" s="1">
        <v>45170</v>
      </c>
      <c r="BW73" s="1">
        <v>45261</v>
      </c>
      <c r="BX73" s="1">
        <v>45352</v>
      </c>
      <c r="BY73" s="1">
        <v>45444</v>
      </c>
      <c r="BZ73" s="1">
        <v>45536</v>
      </c>
      <c r="CA73" s="1">
        <v>45627</v>
      </c>
    </row>
    <row r="74" spans="1:79" x14ac:dyDescent="0.2">
      <c r="C74" t="s">
        <v>67</v>
      </c>
      <c r="D74" s="2">
        <f>-D7</f>
        <v>1655616</v>
      </c>
      <c r="E74">
        <f t="shared" ref="E74:BP74" si="0">-E7</f>
        <v>1678770</v>
      </c>
      <c r="F74">
        <f t="shared" si="0"/>
        <v>2005759</v>
      </c>
      <c r="G74">
        <f t="shared" si="0"/>
        <v>1807819</v>
      </c>
      <c r="H74">
        <f t="shared" si="0"/>
        <v>1654166</v>
      </c>
      <c r="I74">
        <f t="shared" si="0"/>
        <v>1421382</v>
      </c>
      <c r="J74">
        <f t="shared" si="0"/>
        <v>1231443</v>
      </c>
      <c r="K74">
        <f t="shared" si="0"/>
        <v>1278830</v>
      </c>
      <c r="L74">
        <f t="shared" si="0"/>
        <v>1849030</v>
      </c>
      <c r="M74">
        <f t="shared" si="0"/>
        <v>1834418</v>
      </c>
      <c r="N74">
        <f t="shared" si="0"/>
        <v>3309018</v>
      </c>
      <c r="O74">
        <f t="shared" si="0"/>
        <v>3994625</v>
      </c>
      <c r="P74">
        <f t="shared" si="0"/>
        <v>3856030</v>
      </c>
      <c r="Q74">
        <f t="shared" si="0"/>
        <v>3199376</v>
      </c>
      <c r="R74">
        <f t="shared" si="0"/>
        <v>2669479</v>
      </c>
      <c r="S74">
        <f t="shared" si="0"/>
        <v>2626940</v>
      </c>
      <c r="T74">
        <f t="shared" si="0"/>
        <v>2769046</v>
      </c>
      <c r="U74">
        <f t="shared" si="0"/>
        <v>3180635</v>
      </c>
      <c r="V74">
        <f t="shared" si="0"/>
        <v>2746288</v>
      </c>
      <c r="W74">
        <f t="shared" si="0"/>
        <v>2511072</v>
      </c>
      <c r="X74">
        <f t="shared" si="0"/>
        <v>2638416</v>
      </c>
      <c r="Y74">
        <f t="shared" si="0"/>
        <v>2785304</v>
      </c>
      <c r="Z74">
        <f t="shared" si="0"/>
        <v>4134034</v>
      </c>
      <c r="AA74">
        <f t="shared" si="0"/>
        <v>4454616</v>
      </c>
      <c r="AB74">
        <f t="shared" si="0"/>
        <v>4604772</v>
      </c>
      <c r="AC74">
        <f t="shared" si="0"/>
        <v>5259919</v>
      </c>
      <c r="AD74">
        <f t="shared" si="0"/>
        <v>5000197</v>
      </c>
      <c r="AE74">
        <f t="shared" si="0"/>
        <v>4569528</v>
      </c>
      <c r="AF74">
        <f t="shared" si="0"/>
        <v>5094143</v>
      </c>
      <c r="AG74">
        <f t="shared" si="0"/>
        <v>5527281</v>
      </c>
      <c r="AH74">
        <f t="shared" si="0"/>
        <v>4994325</v>
      </c>
      <c r="AI74">
        <f t="shared" si="0"/>
        <v>5443587</v>
      </c>
      <c r="AJ74">
        <f t="shared" si="0"/>
        <v>5503555</v>
      </c>
      <c r="AK74">
        <f t="shared" si="0"/>
        <v>5490052</v>
      </c>
      <c r="AL74">
        <f t="shared" si="0"/>
        <v>6206947</v>
      </c>
      <c r="AM74">
        <f t="shared" si="0"/>
        <v>7021188</v>
      </c>
      <c r="AN74">
        <f t="shared" si="0"/>
        <v>6960663</v>
      </c>
      <c r="AO74">
        <f t="shared" si="0"/>
        <v>6874739</v>
      </c>
      <c r="AP74">
        <f t="shared" si="0"/>
        <v>7427021</v>
      </c>
      <c r="AQ74">
        <f t="shared" si="0"/>
        <v>7590470</v>
      </c>
      <c r="AR74">
        <f t="shared" si="0"/>
        <v>7886675</v>
      </c>
      <c r="AS74">
        <f t="shared" si="0"/>
        <v>8340977</v>
      </c>
      <c r="AT74">
        <f t="shared" si="0"/>
        <v>8104523</v>
      </c>
      <c r="AU74">
        <f t="shared" si="0"/>
        <v>8258387</v>
      </c>
      <c r="AV74">
        <f t="shared" si="0"/>
        <v>8091781</v>
      </c>
      <c r="AW74">
        <f t="shared" si="0"/>
        <v>7959439</v>
      </c>
      <c r="AX74">
        <f t="shared" si="0"/>
        <v>7743743</v>
      </c>
      <c r="AY74">
        <f t="shared" si="0"/>
        <v>7830723</v>
      </c>
      <c r="AZ74">
        <f t="shared" si="0"/>
        <v>7944390</v>
      </c>
      <c r="BA74">
        <f t="shared" si="0"/>
        <v>8915229</v>
      </c>
      <c r="BB74">
        <f t="shared" si="0"/>
        <v>9668234</v>
      </c>
      <c r="BC74">
        <f t="shared" si="0"/>
        <v>9795821</v>
      </c>
      <c r="BD74">
        <f t="shared" si="0"/>
        <v>10349908</v>
      </c>
      <c r="BE74">
        <f t="shared" si="0"/>
        <v>10738701</v>
      </c>
      <c r="BF74">
        <f t="shared" si="0"/>
        <v>11520386</v>
      </c>
      <c r="BG74">
        <f t="shared" si="0"/>
        <v>11666440</v>
      </c>
      <c r="BH74">
        <f t="shared" si="0"/>
        <v>12608703</v>
      </c>
      <c r="BI74">
        <f t="shared" si="0"/>
        <v>13599447</v>
      </c>
      <c r="BJ74">
        <f t="shared" si="0"/>
        <v>14460621</v>
      </c>
      <c r="BK74">
        <f t="shared" si="0"/>
        <v>14721004</v>
      </c>
      <c r="BL74">
        <f t="shared" si="0"/>
        <v>15050086</v>
      </c>
      <c r="BM74">
        <f t="shared" si="0"/>
        <v>16098813</v>
      </c>
      <c r="BN74">
        <f t="shared" si="0"/>
        <v>16448862</v>
      </c>
      <c r="BO74">
        <f t="shared" si="0"/>
        <v>18832520</v>
      </c>
      <c r="BP74">
        <f t="shared" si="0"/>
        <v>18340500</v>
      </c>
      <c r="BQ74">
        <f t="shared" ref="BQ74:CA74" si="1">-BQ7</f>
        <v>16640751</v>
      </c>
      <c r="BR74">
        <f t="shared" si="1"/>
        <v>16859325</v>
      </c>
      <c r="BS74">
        <f t="shared" si="1"/>
        <v>16263908</v>
      </c>
      <c r="BT74">
        <f t="shared" si="1"/>
        <v>16933306</v>
      </c>
      <c r="BU74">
        <f t="shared" si="1"/>
        <v>18249600</v>
      </c>
      <c r="BV74">
        <f t="shared" si="1"/>
        <v>18297214</v>
      </c>
      <c r="BW74">
        <f t="shared" si="1"/>
        <v>19853154</v>
      </c>
      <c r="BX74">
        <f t="shared" si="1"/>
        <v>21288760</v>
      </c>
      <c r="BY74">
        <f t="shared" si="1"/>
        <v>22545897</v>
      </c>
      <c r="BZ74">
        <f t="shared" si="1"/>
        <v>24153554</v>
      </c>
      <c r="CA74">
        <f t="shared" si="1"/>
        <v>26232125</v>
      </c>
    </row>
    <row r="75" spans="1:79" x14ac:dyDescent="0.2">
      <c r="C75" t="s">
        <v>69</v>
      </c>
      <c r="D75">
        <f>D43</f>
        <v>16122685</v>
      </c>
      <c r="E75">
        <f t="shared" ref="E75:BP75" si="2">E43</f>
        <v>16485106</v>
      </c>
      <c r="F75">
        <f t="shared" si="2"/>
        <v>17281746</v>
      </c>
      <c r="G75">
        <f t="shared" si="2"/>
        <v>18218331</v>
      </c>
      <c r="H75">
        <f t="shared" si="2"/>
        <v>18960701</v>
      </c>
      <c r="I75">
        <f t="shared" si="2"/>
        <v>20262313</v>
      </c>
      <c r="J75">
        <f t="shared" si="2"/>
        <v>20913533</v>
      </c>
      <c r="K75">
        <f t="shared" si="2"/>
        <v>21983996</v>
      </c>
      <c r="L75">
        <f t="shared" si="2"/>
        <v>23736139</v>
      </c>
      <c r="M75">
        <f t="shared" si="2"/>
        <v>22848492</v>
      </c>
      <c r="N75">
        <f t="shared" si="2"/>
        <v>21741288</v>
      </c>
      <c r="O75">
        <f t="shared" si="2"/>
        <v>23418718</v>
      </c>
      <c r="P75">
        <f t="shared" si="2"/>
        <v>22004103</v>
      </c>
      <c r="Q75">
        <f t="shared" si="2"/>
        <v>21132222</v>
      </c>
      <c r="R75">
        <f t="shared" si="2"/>
        <v>22403110</v>
      </c>
      <c r="S75">
        <f t="shared" si="2"/>
        <v>22054085</v>
      </c>
      <c r="T75">
        <f t="shared" si="2"/>
        <v>22522705</v>
      </c>
      <c r="U75">
        <f t="shared" si="2"/>
        <v>22978071</v>
      </c>
      <c r="V75">
        <f t="shared" si="2"/>
        <v>24713638</v>
      </c>
      <c r="W75">
        <f t="shared" si="2"/>
        <v>24279619</v>
      </c>
      <c r="X75">
        <f t="shared" si="2"/>
        <v>24788304</v>
      </c>
      <c r="Y75">
        <f t="shared" si="2"/>
        <v>25233740</v>
      </c>
      <c r="Z75">
        <f t="shared" si="2"/>
        <v>26435151</v>
      </c>
      <c r="AA75">
        <f t="shared" si="2"/>
        <v>26664258</v>
      </c>
      <c r="AB75">
        <f t="shared" si="2"/>
        <v>26822016</v>
      </c>
      <c r="AC75">
        <f t="shared" si="2"/>
        <v>26767319</v>
      </c>
      <c r="AD75">
        <f t="shared" si="2"/>
        <v>27313305</v>
      </c>
      <c r="AE75">
        <f t="shared" si="2"/>
        <v>27080174</v>
      </c>
      <c r="AF75">
        <f t="shared" si="2"/>
        <v>27767917</v>
      </c>
      <c r="AG75">
        <f t="shared" si="2"/>
        <v>27470984</v>
      </c>
      <c r="AH75">
        <f t="shared" si="2"/>
        <v>27978365</v>
      </c>
      <c r="AI75">
        <f t="shared" si="2"/>
        <v>29513421</v>
      </c>
      <c r="AJ75">
        <f t="shared" si="2"/>
        <v>29641727</v>
      </c>
      <c r="AK75">
        <f t="shared" si="2"/>
        <v>30548680</v>
      </c>
      <c r="AL75">
        <f t="shared" si="2"/>
        <v>30877211</v>
      </c>
      <c r="AM75">
        <f t="shared" si="2"/>
        <v>31828304</v>
      </c>
      <c r="AN75">
        <f t="shared" si="2"/>
        <v>32517930</v>
      </c>
      <c r="AO75">
        <f t="shared" si="2"/>
        <v>31562682</v>
      </c>
      <c r="AP75">
        <f t="shared" si="2"/>
        <v>30881198</v>
      </c>
      <c r="AQ75">
        <f t="shared" si="2"/>
        <v>30892217</v>
      </c>
      <c r="AR75">
        <f t="shared" si="2"/>
        <v>31914696</v>
      </c>
      <c r="AS75">
        <f t="shared" si="2"/>
        <v>32836299</v>
      </c>
      <c r="AT75">
        <f t="shared" si="2"/>
        <v>32872184</v>
      </c>
      <c r="AU75">
        <f t="shared" si="2"/>
        <v>32160757</v>
      </c>
      <c r="AV75">
        <f t="shared" si="2"/>
        <v>32997277</v>
      </c>
      <c r="AW75">
        <f t="shared" si="2"/>
        <v>33859632</v>
      </c>
      <c r="AX75">
        <f t="shared" si="2"/>
        <v>34660204</v>
      </c>
      <c r="AY75">
        <f t="shared" si="2"/>
        <v>35412791</v>
      </c>
      <c r="AZ75">
        <f t="shared" si="2"/>
        <v>35444253</v>
      </c>
      <c r="BA75">
        <f t="shared" si="2"/>
        <v>35846697</v>
      </c>
      <c r="BB75">
        <f t="shared" si="2"/>
        <v>36729522</v>
      </c>
      <c r="BC75">
        <f t="shared" si="2"/>
        <v>34902578</v>
      </c>
      <c r="BD75">
        <f t="shared" si="2"/>
        <v>37025938</v>
      </c>
      <c r="BE75">
        <f t="shared" si="2"/>
        <v>38297960</v>
      </c>
      <c r="BF75">
        <f t="shared" si="2"/>
        <v>39313952</v>
      </c>
      <c r="BG75">
        <f t="shared" si="2"/>
        <v>40511618</v>
      </c>
      <c r="BH75">
        <f t="shared" si="2"/>
        <v>39316239</v>
      </c>
      <c r="BI75">
        <f t="shared" si="2"/>
        <v>42146921</v>
      </c>
      <c r="BJ75">
        <f t="shared" si="2"/>
        <v>43747053</v>
      </c>
      <c r="BK75">
        <f t="shared" si="2"/>
        <v>46744160</v>
      </c>
      <c r="BL75">
        <f t="shared" si="2"/>
        <v>47727220</v>
      </c>
      <c r="BM75">
        <f t="shared" si="2"/>
        <v>50230949</v>
      </c>
      <c r="BN75">
        <f t="shared" si="2"/>
        <v>50673028</v>
      </c>
      <c r="BO75">
        <f t="shared" si="2"/>
        <v>53775458</v>
      </c>
      <c r="BP75">
        <f t="shared" si="2"/>
        <v>52278123</v>
      </c>
      <c r="BQ75">
        <f t="shared" ref="BQ75:CA75" si="3">BQ43</f>
        <v>47540616</v>
      </c>
      <c r="BR75">
        <f t="shared" si="3"/>
        <v>46449421</v>
      </c>
      <c r="BS75">
        <f t="shared" si="3"/>
        <v>47704194</v>
      </c>
      <c r="BT75">
        <f t="shared" si="3"/>
        <v>49473808</v>
      </c>
      <c r="BU75">
        <f t="shared" si="3"/>
        <v>51583212</v>
      </c>
      <c r="BV75">
        <f t="shared" si="3"/>
        <v>50957862</v>
      </c>
      <c r="BW75">
        <f t="shared" si="3"/>
        <v>54252801</v>
      </c>
      <c r="BX75">
        <f t="shared" si="3"/>
        <v>57117662</v>
      </c>
      <c r="BY75">
        <f t="shared" si="3"/>
        <v>58628966</v>
      </c>
      <c r="BZ75">
        <f t="shared" si="3"/>
        <v>61811387</v>
      </c>
      <c r="CA75" s="2">
        <f t="shared" si="3"/>
        <v>62117577</v>
      </c>
    </row>
    <row r="76" spans="1:79" x14ac:dyDescent="0.2">
      <c r="C76" t="s">
        <v>60</v>
      </c>
      <c r="D76">
        <f>D48+D51</f>
        <v>5050063</v>
      </c>
      <c r="E76">
        <f t="shared" ref="E76:BP76" si="4">E48+E51</f>
        <v>5001934</v>
      </c>
      <c r="F76">
        <f t="shared" si="4"/>
        <v>5318761</v>
      </c>
      <c r="G76">
        <f t="shared" si="4"/>
        <v>5687424</v>
      </c>
      <c r="H76">
        <f t="shared" si="4"/>
        <v>5794375</v>
      </c>
      <c r="I76">
        <f t="shared" si="4"/>
        <v>6288879</v>
      </c>
      <c r="J76">
        <f t="shared" si="4"/>
        <v>6476888</v>
      </c>
      <c r="K76">
        <f t="shared" si="4"/>
        <v>6329164</v>
      </c>
      <c r="L76">
        <f t="shared" si="4"/>
        <v>5854717</v>
      </c>
      <c r="M76">
        <f t="shared" si="4"/>
        <v>5757535</v>
      </c>
      <c r="N76">
        <f t="shared" si="4"/>
        <v>5314287</v>
      </c>
      <c r="O76">
        <f t="shared" si="4"/>
        <v>4132941</v>
      </c>
      <c r="P76">
        <f t="shared" si="4"/>
        <v>3653773</v>
      </c>
      <c r="Q76">
        <f t="shared" si="4"/>
        <v>4276648</v>
      </c>
      <c r="R76">
        <f t="shared" si="4"/>
        <v>5049434</v>
      </c>
      <c r="S76">
        <f t="shared" si="4"/>
        <v>5431582</v>
      </c>
      <c r="T76">
        <f t="shared" si="4"/>
        <v>5783039</v>
      </c>
      <c r="U76">
        <f t="shared" si="4"/>
        <v>5144350</v>
      </c>
      <c r="V76">
        <f t="shared" si="4"/>
        <v>5805616</v>
      </c>
      <c r="W76">
        <f t="shared" si="4"/>
        <v>6473522</v>
      </c>
      <c r="X76">
        <f t="shared" si="4"/>
        <v>6888032</v>
      </c>
      <c r="Y76">
        <f t="shared" si="4"/>
        <v>6939442</v>
      </c>
      <c r="Z76">
        <f t="shared" si="4"/>
        <v>6053514</v>
      </c>
      <c r="AA76">
        <f t="shared" si="4"/>
        <v>6810263</v>
      </c>
      <c r="AB76">
        <f t="shared" si="4"/>
        <v>7672833</v>
      </c>
      <c r="AC76">
        <f t="shared" si="4"/>
        <v>7505501</v>
      </c>
      <c r="AD76">
        <f t="shared" si="4"/>
        <v>7940026</v>
      </c>
      <c r="AE76">
        <f t="shared" si="4"/>
        <v>7961204</v>
      </c>
      <c r="AF76">
        <f t="shared" si="4"/>
        <v>8754007</v>
      </c>
      <c r="AG76">
        <f t="shared" si="4"/>
        <v>8925962</v>
      </c>
      <c r="AH76">
        <f t="shared" si="4"/>
        <v>9450574</v>
      </c>
      <c r="AI76">
        <f t="shared" si="4"/>
        <v>10307816</v>
      </c>
      <c r="AJ76">
        <f t="shared" si="4"/>
        <v>10440866</v>
      </c>
      <c r="AK76">
        <f t="shared" si="4"/>
        <v>10973200</v>
      </c>
      <c r="AL76">
        <f t="shared" si="4"/>
        <v>11092416</v>
      </c>
      <c r="AM76">
        <f t="shared" si="4"/>
        <v>11538259</v>
      </c>
      <c r="AN76">
        <f t="shared" si="4"/>
        <v>11805837</v>
      </c>
      <c r="AO76">
        <f t="shared" si="4"/>
        <v>11757854</v>
      </c>
      <c r="AP76">
        <f t="shared" si="4"/>
        <v>10867472</v>
      </c>
      <c r="AQ76">
        <f t="shared" si="4"/>
        <v>11319469</v>
      </c>
      <c r="AR76">
        <f t="shared" si="4"/>
        <v>11346816</v>
      </c>
      <c r="AS76">
        <f t="shared" si="4"/>
        <v>11594696</v>
      </c>
      <c r="AT76">
        <f t="shared" si="4"/>
        <v>12140188</v>
      </c>
      <c r="AU76">
        <f t="shared" si="4"/>
        <v>12393572</v>
      </c>
      <c r="AV76">
        <f t="shared" si="4"/>
        <v>13210610</v>
      </c>
      <c r="AW76">
        <f t="shared" si="4"/>
        <v>13591393</v>
      </c>
      <c r="AX76">
        <f t="shared" si="4"/>
        <v>14240554</v>
      </c>
      <c r="AY76">
        <f t="shared" si="4"/>
        <v>15057409</v>
      </c>
      <c r="AZ76">
        <f t="shared" si="4"/>
        <v>15023152</v>
      </c>
      <c r="BA76">
        <f t="shared" si="4"/>
        <v>15382260</v>
      </c>
      <c r="BB76">
        <f t="shared" si="4"/>
        <v>16336104</v>
      </c>
      <c r="BC76">
        <f t="shared" si="4"/>
        <v>14284758</v>
      </c>
      <c r="BD76">
        <f t="shared" si="4"/>
        <v>15925006</v>
      </c>
      <c r="BE76">
        <f t="shared" si="4"/>
        <v>16585113</v>
      </c>
      <c r="BF76">
        <f t="shared" si="4"/>
        <v>16721701</v>
      </c>
      <c r="BG76">
        <f t="shared" si="4"/>
        <v>18086755</v>
      </c>
      <c r="BH76">
        <f t="shared" si="4"/>
        <v>14790238</v>
      </c>
      <c r="BI76">
        <f t="shared" si="4"/>
        <v>17749029</v>
      </c>
      <c r="BJ76">
        <f t="shared" si="4"/>
        <v>19398359</v>
      </c>
      <c r="BK76">
        <f t="shared" si="4"/>
        <v>22097500</v>
      </c>
      <c r="BL76">
        <f t="shared" si="4"/>
        <v>23487588</v>
      </c>
      <c r="BM76">
        <f t="shared" si="4"/>
        <v>25519096</v>
      </c>
      <c r="BN76">
        <f t="shared" si="4"/>
        <v>25651007</v>
      </c>
      <c r="BO76">
        <f t="shared" si="4"/>
        <v>28414462</v>
      </c>
      <c r="BP76">
        <f t="shared" si="4"/>
        <v>26804562</v>
      </c>
      <c r="BQ76">
        <f t="shared" ref="BQ76:CA76" si="5">BQ48+BQ51</f>
        <v>22549395</v>
      </c>
      <c r="BR76">
        <f t="shared" si="5"/>
        <v>21311363</v>
      </c>
      <c r="BS76">
        <f t="shared" si="5"/>
        <v>22593889</v>
      </c>
      <c r="BT76">
        <f t="shared" si="5"/>
        <v>24092273</v>
      </c>
      <c r="BU76">
        <f t="shared" si="5"/>
        <v>25876434</v>
      </c>
      <c r="BV76">
        <f t="shared" si="5"/>
        <v>25078543</v>
      </c>
      <c r="BW76">
        <f t="shared" si="5"/>
        <v>27715465</v>
      </c>
      <c r="BX76">
        <f t="shared" si="5"/>
        <v>30343728</v>
      </c>
      <c r="BY76">
        <f t="shared" si="5"/>
        <v>31457594</v>
      </c>
      <c r="BZ76">
        <f t="shared" si="5"/>
        <v>33350330</v>
      </c>
      <c r="CA76" s="2">
        <f t="shared" si="5"/>
        <v>34326206</v>
      </c>
    </row>
    <row r="77" spans="1:79" x14ac:dyDescent="0.2">
      <c r="C77" t="s">
        <v>59</v>
      </c>
      <c r="D77">
        <f>D51</f>
        <v>2454992</v>
      </c>
      <c r="E77">
        <f t="shared" ref="E77:BP77" si="6">E51</f>
        <v>2431169</v>
      </c>
      <c r="F77">
        <f t="shared" si="6"/>
        <v>2599784</v>
      </c>
      <c r="G77">
        <f t="shared" si="6"/>
        <v>2791893</v>
      </c>
      <c r="H77">
        <f t="shared" si="6"/>
        <v>2848797</v>
      </c>
      <c r="I77">
        <f t="shared" si="6"/>
        <v>3129523</v>
      </c>
      <c r="J77">
        <f t="shared" si="6"/>
        <v>3222228</v>
      </c>
      <c r="K77">
        <f t="shared" si="6"/>
        <v>3231651</v>
      </c>
      <c r="L77">
        <f t="shared" si="6"/>
        <v>3011024</v>
      </c>
      <c r="M77">
        <f t="shared" si="6"/>
        <v>2969288</v>
      </c>
      <c r="N77">
        <f t="shared" si="6"/>
        <v>2731517</v>
      </c>
      <c r="O77">
        <f t="shared" si="6"/>
        <v>2132433</v>
      </c>
      <c r="P77">
        <f t="shared" si="6"/>
        <v>1904734</v>
      </c>
      <c r="Q77">
        <f t="shared" si="6"/>
        <v>2252181</v>
      </c>
      <c r="R77">
        <f t="shared" si="6"/>
        <v>2688029</v>
      </c>
      <c r="S77">
        <f t="shared" si="6"/>
        <v>2917681</v>
      </c>
      <c r="T77">
        <f t="shared" si="6"/>
        <v>3137639</v>
      </c>
      <c r="U77">
        <f t="shared" si="6"/>
        <v>2814256</v>
      </c>
      <c r="V77">
        <f t="shared" si="6"/>
        <v>3169658</v>
      </c>
      <c r="W77">
        <f t="shared" si="6"/>
        <v>3545769</v>
      </c>
      <c r="X77">
        <f t="shared" si="6"/>
        <v>3793751</v>
      </c>
      <c r="Y77">
        <f t="shared" si="6"/>
        <v>3829897</v>
      </c>
      <c r="Z77">
        <f t="shared" si="6"/>
        <v>3366482</v>
      </c>
      <c r="AA77">
        <f t="shared" si="6"/>
        <v>3841901</v>
      </c>
      <c r="AB77">
        <f t="shared" si="6"/>
        <v>4355167</v>
      </c>
      <c r="AC77">
        <f t="shared" si="6"/>
        <v>4261853</v>
      </c>
      <c r="AD77">
        <f t="shared" si="6"/>
        <v>4508580</v>
      </c>
      <c r="AE77">
        <f t="shared" si="6"/>
        <v>4545361</v>
      </c>
      <c r="AF77">
        <f t="shared" si="6"/>
        <v>5000428</v>
      </c>
      <c r="AG77">
        <f t="shared" si="6"/>
        <v>5076822</v>
      </c>
      <c r="AH77">
        <f t="shared" si="6"/>
        <v>5406318</v>
      </c>
      <c r="AI77">
        <f t="shared" si="6"/>
        <v>5864600</v>
      </c>
      <c r="AJ77">
        <f t="shared" si="6"/>
        <v>6051072</v>
      </c>
      <c r="AK77">
        <f t="shared" si="6"/>
        <v>6352073</v>
      </c>
      <c r="AL77">
        <f t="shared" si="6"/>
        <v>6436702</v>
      </c>
      <c r="AM77">
        <f t="shared" si="6"/>
        <v>6642507</v>
      </c>
      <c r="AN77">
        <f t="shared" si="6"/>
        <v>6728462</v>
      </c>
      <c r="AO77">
        <f t="shared" si="6"/>
        <v>6659703</v>
      </c>
      <c r="AP77">
        <f t="shared" si="6"/>
        <v>6094427</v>
      </c>
      <c r="AQ77">
        <f t="shared" si="6"/>
        <v>6209080</v>
      </c>
      <c r="AR77">
        <f t="shared" si="6"/>
        <v>6138131</v>
      </c>
      <c r="AS77">
        <f t="shared" si="6"/>
        <v>6185650</v>
      </c>
      <c r="AT77">
        <f t="shared" si="6"/>
        <v>6489070</v>
      </c>
      <c r="AU77">
        <f t="shared" si="6"/>
        <v>6570218</v>
      </c>
      <c r="AV77">
        <f t="shared" si="6"/>
        <v>7008686</v>
      </c>
      <c r="AW77">
        <f t="shared" si="6"/>
        <v>7190983</v>
      </c>
      <c r="AX77">
        <f t="shared" si="6"/>
        <v>7550790</v>
      </c>
      <c r="AY77">
        <f t="shared" si="6"/>
        <v>7941551</v>
      </c>
      <c r="AZ77">
        <f t="shared" si="6"/>
        <v>7980926</v>
      </c>
      <c r="BA77">
        <f t="shared" si="6"/>
        <v>8144340</v>
      </c>
      <c r="BB77">
        <f t="shared" si="6"/>
        <v>8529094</v>
      </c>
      <c r="BC77">
        <f t="shared" si="6"/>
        <v>7539222</v>
      </c>
      <c r="BD77">
        <f t="shared" si="6"/>
        <v>8264823</v>
      </c>
      <c r="BE77">
        <f t="shared" si="6"/>
        <v>8610341</v>
      </c>
      <c r="BF77">
        <f t="shared" si="6"/>
        <v>8646374</v>
      </c>
      <c r="BG77">
        <f t="shared" si="6"/>
        <v>9296241</v>
      </c>
      <c r="BH77">
        <f t="shared" si="6"/>
        <v>7772135</v>
      </c>
      <c r="BI77">
        <f t="shared" si="6"/>
        <v>9320740</v>
      </c>
      <c r="BJ77">
        <f t="shared" si="6"/>
        <v>10235520</v>
      </c>
      <c r="BK77">
        <f t="shared" si="6"/>
        <v>11834628</v>
      </c>
      <c r="BL77">
        <f t="shared" si="6"/>
        <v>12621887</v>
      </c>
      <c r="BM77">
        <f t="shared" si="6"/>
        <v>13711792</v>
      </c>
      <c r="BN77">
        <f t="shared" si="6"/>
        <v>13775638</v>
      </c>
      <c r="BO77">
        <f t="shared" si="6"/>
        <v>15250615</v>
      </c>
      <c r="BP77">
        <f t="shared" si="6"/>
        <v>14347331</v>
      </c>
      <c r="BQ77">
        <f t="shared" ref="BQ77:CA77" si="7">BQ51</f>
        <v>12185954</v>
      </c>
      <c r="BR77">
        <f t="shared" si="7"/>
        <v>11532884</v>
      </c>
      <c r="BS77">
        <f t="shared" si="7"/>
        <v>12126970</v>
      </c>
      <c r="BT77">
        <f t="shared" si="7"/>
        <v>12854344</v>
      </c>
      <c r="BU77">
        <f t="shared" si="7"/>
        <v>13724747</v>
      </c>
      <c r="BV77">
        <f t="shared" si="7"/>
        <v>13397628</v>
      </c>
      <c r="BW77">
        <f t="shared" si="7"/>
        <v>14736519</v>
      </c>
      <c r="BX77">
        <f t="shared" si="7"/>
        <v>16122326</v>
      </c>
      <c r="BY77">
        <f t="shared" si="7"/>
        <v>16688579</v>
      </c>
      <c r="BZ77">
        <f t="shared" si="7"/>
        <v>17767817</v>
      </c>
      <c r="CA77" s="2">
        <f t="shared" si="7"/>
        <v>18443342</v>
      </c>
    </row>
    <row r="78" spans="1:79" x14ac:dyDescent="0.2">
      <c r="C78" t="s">
        <v>61</v>
      </c>
      <c r="D78">
        <f>D49+D52</f>
        <v>5939683</v>
      </c>
      <c r="E78">
        <f t="shared" ref="E78:BP78" si="8">E49+E52</f>
        <v>6192408</v>
      </c>
      <c r="F78">
        <f t="shared" si="8"/>
        <v>6594612</v>
      </c>
      <c r="G78">
        <f t="shared" si="8"/>
        <v>6908701</v>
      </c>
      <c r="H78">
        <f t="shared" si="8"/>
        <v>7336975</v>
      </c>
      <c r="I78">
        <f t="shared" si="8"/>
        <v>7592575</v>
      </c>
      <c r="J78">
        <f t="shared" si="8"/>
        <v>7795470</v>
      </c>
      <c r="K78">
        <f t="shared" si="8"/>
        <v>8132049</v>
      </c>
      <c r="L78">
        <f t="shared" si="8"/>
        <v>8431641</v>
      </c>
      <c r="M78">
        <f t="shared" si="8"/>
        <v>8481852</v>
      </c>
      <c r="N78">
        <f t="shared" si="8"/>
        <v>8276417</v>
      </c>
      <c r="O78">
        <f t="shared" si="8"/>
        <v>8434172</v>
      </c>
      <c r="P78">
        <f t="shared" si="8"/>
        <v>8354309</v>
      </c>
      <c r="Q78">
        <f t="shared" si="8"/>
        <v>8497794</v>
      </c>
      <c r="R78">
        <f t="shared" si="8"/>
        <v>8699375</v>
      </c>
      <c r="S78">
        <f t="shared" si="8"/>
        <v>8650282</v>
      </c>
      <c r="T78">
        <f t="shared" si="8"/>
        <v>8796836</v>
      </c>
      <c r="U78">
        <f t="shared" si="8"/>
        <v>8996604</v>
      </c>
      <c r="V78">
        <f t="shared" si="8"/>
        <v>9511949</v>
      </c>
      <c r="W78">
        <f t="shared" si="8"/>
        <v>9494837</v>
      </c>
      <c r="X78">
        <f t="shared" si="8"/>
        <v>9610942</v>
      </c>
      <c r="Y78">
        <f t="shared" si="8"/>
        <v>9809574</v>
      </c>
      <c r="Z78">
        <f t="shared" si="8"/>
        <v>10066640</v>
      </c>
      <c r="AA78">
        <f t="shared" si="8"/>
        <v>10036205</v>
      </c>
      <c r="AB78">
        <f t="shared" si="8"/>
        <v>10183924</v>
      </c>
      <c r="AC78">
        <f t="shared" si="8"/>
        <v>10282569</v>
      </c>
      <c r="AD78">
        <f t="shared" si="8"/>
        <v>10560373</v>
      </c>
      <c r="AE78">
        <f t="shared" si="8"/>
        <v>10680095</v>
      </c>
      <c r="AF78">
        <f t="shared" si="8"/>
        <v>10865514</v>
      </c>
      <c r="AG78">
        <f t="shared" si="8"/>
        <v>10688254</v>
      </c>
      <c r="AH78">
        <f t="shared" si="8"/>
        <v>10839973</v>
      </c>
      <c r="AI78">
        <f t="shared" si="8"/>
        <v>11048370</v>
      </c>
      <c r="AJ78">
        <f t="shared" si="8"/>
        <v>11271753</v>
      </c>
      <c r="AK78">
        <f t="shared" si="8"/>
        <v>11470787</v>
      </c>
      <c r="AL78">
        <f t="shared" si="8"/>
        <v>11589119</v>
      </c>
      <c r="AM78">
        <f t="shared" si="8"/>
        <v>11762420</v>
      </c>
      <c r="AN78">
        <f t="shared" si="8"/>
        <v>11970824</v>
      </c>
      <c r="AO78">
        <f t="shared" si="8"/>
        <v>12107046</v>
      </c>
      <c r="AP78">
        <f t="shared" si="8"/>
        <v>12029286</v>
      </c>
      <c r="AQ78">
        <f t="shared" si="8"/>
        <v>12055597</v>
      </c>
      <c r="AR78">
        <f t="shared" si="8"/>
        <v>12357523</v>
      </c>
      <c r="AS78">
        <f t="shared" si="8"/>
        <v>12629171</v>
      </c>
      <c r="AT78">
        <f t="shared" si="8"/>
        <v>12748178</v>
      </c>
      <c r="AU78">
        <f t="shared" si="8"/>
        <v>12476908</v>
      </c>
      <c r="AV78">
        <f t="shared" si="8"/>
        <v>12589999</v>
      </c>
      <c r="AW78">
        <f t="shared" si="8"/>
        <v>12952865</v>
      </c>
      <c r="AX78">
        <f t="shared" si="8"/>
        <v>13210700</v>
      </c>
      <c r="AY78">
        <f t="shared" si="8"/>
        <v>13176129</v>
      </c>
      <c r="AZ78">
        <f t="shared" si="8"/>
        <v>13137171</v>
      </c>
      <c r="BA78">
        <f t="shared" si="8"/>
        <v>12999779</v>
      </c>
      <c r="BB78">
        <f t="shared" si="8"/>
        <v>13040402</v>
      </c>
      <c r="BC78">
        <f t="shared" si="8"/>
        <v>12952915</v>
      </c>
      <c r="BD78">
        <f t="shared" si="8"/>
        <v>13334759</v>
      </c>
      <c r="BE78">
        <f t="shared" si="8"/>
        <v>13605194</v>
      </c>
      <c r="BF78">
        <f t="shared" si="8"/>
        <v>14125969</v>
      </c>
      <c r="BG78">
        <f t="shared" si="8"/>
        <v>14131540</v>
      </c>
      <c r="BH78">
        <f t="shared" si="8"/>
        <v>14119225</v>
      </c>
      <c r="BI78">
        <f t="shared" si="8"/>
        <v>14633208</v>
      </c>
      <c r="BJ78">
        <f t="shared" si="8"/>
        <v>14796148</v>
      </c>
      <c r="BK78">
        <f t="shared" si="8"/>
        <v>14949987</v>
      </c>
      <c r="BL78">
        <f t="shared" si="8"/>
        <v>14798123</v>
      </c>
      <c r="BM78">
        <f t="shared" si="8"/>
        <v>15167748</v>
      </c>
      <c r="BN78">
        <f t="shared" si="8"/>
        <v>15230962</v>
      </c>
      <c r="BO78">
        <f t="shared" si="8"/>
        <v>15423063</v>
      </c>
      <c r="BP78">
        <f t="shared" si="8"/>
        <v>15055623</v>
      </c>
      <c r="BQ78">
        <f t="shared" ref="BQ78:CA78" si="9">BQ49+BQ52</f>
        <v>14482106</v>
      </c>
      <c r="BR78">
        <f t="shared" si="9"/>
        <v>14161602</v>
      </c>
      <c r="BS78">
        <f t="shared" si="9"/>
        <v>14356528</v>
      </c>
      <c r="BT78">
        <f t="shared" si="9"/>
        <v>14783222</v>
      </c>
      <c r="BU78">
        <f t="shared" si="9"/>
        <v>14979383</v>
      </c>
      <c r="BV78">
        <f t="shared" si="9"/>
        <v>14972283</v>
      </c>
      <c r="BW78">
        <f t="shared" si="9"/>
        <v>15710414</v>
      </c>
      <c r="BX78">
        <f t="shared" si="9"/>
        <v>15950955</v>
      </c>
      <c r="BY78">
        <f t="shared" si="9"/>
        <v>16140852</v>
      </c>
      <c r="BZ78">
        <f t="shared" si="9"/>
        <v>16920562</v>
      </c>
      <c r="CA78" s="2">
        <f t="shared" si="9"/>
        <v>16597904</v>
      </c>
    </row>
    <row r="79" spans="1:79" x14ac:dyDescent="0.2">
      <c r="C79" t="s">
        <v>62</v>
      </c>
      <c r="D79">
        <f>D52</f>
        <v>5147535</v>
      </c>
      <c r="E79">
        <f t="shared" ref="E79:BP79" si="10">E52</f>
        <v>5360261</v>
      </c>
      <c r="F79">
        <f t="shared" si="10"/>
        <v>5742448</v>
      </c>
      <c r="G79">
        <f t="shared" si="10"/>
        <v>6051630</v>
      </c>
      <c r="H79">
        <f t="shared" si="10"/>
        <v>6422932</v>
      </c>
      <c r="I79">
        <f t="shared" si="10"/>
        <v>6650961</v>
      </c>
      <c r="J79">
        <f t="shared" si="10"/>
        <v>6810882</v>
      </c>
      <c r="K79">
        <f t="shared" si="10"/>
        <v>7095323</v>
      </c>
      <c r="L79">
        <f t="shared" si="10"/>
        <v>7357632</v>
      </c>
      <c r="M79">
        <f t="shared" si="10"/>
        <v>7358274</v>
      </c>
      <c r="N79">
        <f t="shared" si="10"/>
        <v>7147051</v>
      </c>
      <c r="O79">
        <f t="shared" si="10"/>
        <v>7343440</v>
      </c>
      <c r="P79">
        <f t="shared" si="10"/>
        <v>7263418</v>
      </c>
      <c r="Q79">
        <f t="shared" si="10"/>
        <v>7380974</v>
      </c>
      <c r="R79">
        <f t="shared" si="10"/>
        <v>7563074</v>
      </c>
      <c r="S79">
        <f t="shared" si="10"/>
        <v>7545553</v>
      </c>
      <c r="T79">
        <f t="shared" si="10"/>
        <v>7673194</v>
      </c>
      <c r="U79">
        <f t="shared" si="10"/>
        <v>7870077</v>
      </c>
      <c r="V79">
        <f t="shared" si="10"/>
        <v>8358012</v>
      </c>
      <c r="W79">
        <f t="shared" si="10"/>
        <v>8323493</v>
      </c>
      <c r="X79">
        <f t="shared" si="10"/>
        <v>8422137</v>
      </c>
      <c r="Y79">
        <f t="shared" si="10"/>
        <v>8602819</v>
      </c>
      <c r="Z79">
        <f t="shared" si="10"/>
        <v>8846210</v>
      </c>
      <c r="AA79">
        <f t="shared" si="10"/>
        <v>8805342</v>
      </c>
      <c r="AB79">
        <f t="shared" si="10"/>
        <v>8968161</v>
      </c>
      <c r="AC79">
        <f t="shared" si="10"/>
        <v>9035671</v>
      </c>
      <c r="AD79">
        <f t="shared" si="10"/>
        <v>9305446</v>
      </c>
      <c r="AE79">
        <f t="shared" si="10"/>
        <v>9433504</v>
      </c>
      <c r="AF79">
        <f t="shared" si="10"/>
        <v>9569168</v>
      </c>
      <c r="AG79">
        <f t="shared" si="10"/>
        <v>9356230</v>
      </c>
      <c r="AH79">
        <f t="shared" si="10"/>
        <v>9487270</v>
      </c>
      <c r="AI79">
        <f t="shared" si="10"/>
        <v>9676651</v>
      </c>
      <c r="AJ79">
        <f t="shared" si="10"/>
        <v>9885208</v>
      </c>
      <c r="AK79">
        <f t="shared" si="10"/>
        <v>10069397</v>
      </c>
      <c r="AL79">
        <f t="shared" si="10"/>
        <v>10131704</v>
      </c>
      <c r="AM79">
        <f t="shared" si="10"/>
        <v>10279279</v>
      </c>
      <c r="AN79">
        <f t="shared" si="10"/>
        <v>10406597</v>
      </c>
      <c r="AO79">
        <f t="shared" si="10"/>
        <v>10504066</v>
      </c>
      <c r="AP79">
        <f t="shared" si="10"/>
        <v>10418525</v>
      </c>
      <c r="AQ79">
        <f t="shared" si="10"/>
        <v>10436766</v>
      </c>
      <c r="AR79">
        <f t="shared" si="10"/>
        <v>10739892</v>
      </c>
      <c r="AS79">
        <f t="shared" si="10"/>
        <v>10964861</v>
      </c>
      <c r="AT79">
        <f t="shared" si="10"/>
        <v>11022352</v>
      </c>
      <c r="AU79">
        <f t="shared" si="10"/>
        <v>10789745</v>
      </c>
      <c r="AV79">
        <f t="shared" si="10"/>
        <v>10898642</v>
      </c>
      <c r="AW79">
        <f t="shared" si="10"/>
        <v>11253230</v>
      </c>
      <c r="AX79">
        <f t="shared" si="10"/>
        <v>11488616</v>
      </c>
      <c r="AY79">
        <f t="shared" si="10"/>
        <v>11456735</v>
      </c>
      <c r="AZ79">
        <f t="shared" si="10"/>
        <v>11410533</v>
      </c>
      <c r="BA79">
        <f t="shared" si="10"/>
        <v>11316896</v>
      </c>
      <c r="BB79">
        <f t="shared" si="10"/>
        <v>11328361</v>
      </c>
      <c r="BC79">
        <f t="shared" si="10"/>
        <v>11304934</v>
      </c>
      <c r="BD79">
        <f t="shared" si="10"/>
        <v>11695892</v>
      </c>
      <c r="BE79">
        <f t="shared" si="10"/>
        <v>11928998</v>
      </c>
      <c r="BF79">
        <f t="shared" si="10"/>
        <v>12432073</v>
      </c>
      <c r="BG79">
        <f t="shared" si="10"/>
        <v>12467326</v>
      </c>
      <c r="BH79">
        <f t="shared" si="10"/>
        <v>12463197</v>
      </c>
      <c r="BI79">
        <f t="shared" si="10"/>
        <v>13067727</v>
      </c>
      <c r="BJ79">
        <f t="shared" si="10"/>
        <v>13149001</v>
      </c>
      <c r="BK79">
        <f t="shared" si="10"/>
        <v>13337278</v>
      </c>
      <c r="BL79">
        <f t="shared" si="10"/>
        <v>13179268</v>
      </c>
      <c r="BM79">
        <f t="shared" si="10"/>
        <v>13528443</v>
      </c>
      <c r="BN79">
        <f t="shared" si="10"/>
        <v>13543116</v>
      </c>
      <c r="BO79">
        <f t="shared" si="10"/>
        <v>13720990</v>
      </c>
      <c r="BP79">
        <f t="shared" si="10"/>
        <v>13324318</v>
      </c>
      <c r="BQ79">
        <f t="shared" ref="BQ79:CA79" si="11">BQ52</f>
        <v>12772420</v>
      </c>
      <c r="BR79">
        <f t="shared" si="11"/>
        <v>12405712</v>
      </c>
      <c r="BS79">
        <f t="shared" si="11"/>
        <v>12588264</v>
      </c>
      <c r="BT79">
        <f t="shared" si="11"/>
        <v>13009743</v>
      </c>
      <c r="BU79">
        <f t="shared" si="11"/>
        <v>13175472</v>
      </c>
      <c r="BV79">
        <f t="shared" si="11"/>
        <v>13167952</v>
      </c>
      <c r="BW79">
        <f t="shared" si="11"/>
        <v>13880266</v>
      </c>
      <c r="BX79">
        <f t="shared" si="11"/>
        <v>14098628</v>
      </c>
      <c r="BY79">
        <f t="shared" si="11"/>
        <v>14215397</v>
      </c>
      <c r="BZ79">
        <f t="shared" si="11"/>
        <v>14961458</v>
      </c>
      <c r="CA79" s="2">
        <f t="shared" si="11"/>
        <v>14643526</v>
      </c>
    </row>
    <row r="80" spans="1:79" x14ac:dyDescent="0.2">
      <c r="C80" t="s">
        <v>71</v>
      </c>
      <c r="D80">
        <f>D57+D54</f>
        <v>1994177</v>
      </c>
      <c r="E80">
        <f t="shared" ref="E80:BP80" si="12">E57+E54</f>
        <v>1980211</v>
      </c>
      <c r="F80">
        <f t="shared" si="12"/>
        <v>2056542</v>
      </c>
      <c r="G80">
        <f t="shared" si="12"/>
        <v>2126178</v>
      </c>
      <c r="H80">
        <f t="shared" si="12"/>
        <v>2221996</v>
      </c>
      <c r="I80">
        <f t="shared" si="12"/>
        <v>2193645</v>
      </c>
      <c r="J80">
        <f t="shared" si="12"/>
        <v>2248372</v>
      </c>
      <c r="K80">
        <f t="shared" si="12"/>
        <v>2376442</v>
      </c>
      <c r="L80">
        <f t="shared" si="12"/>
        <v>2556533</v>
      </c>
      <c r="M80">
        <f t="shared" si="12"/>
        <v>2587500</v>
      </c>
      <c r="N80">
        <f t="shared" si="12"/>
        <v>2833879</v>
      </c>
      <c r="O80">
        <f t="shared" si="12"/>
        <v>3252974</v>
      </c>
      <c r="P80">
        <f t="shared" si="12"/>
        <v>3417839</v>
      </c>
      <c r="Q80">
        <f t="shared" si="12"/>
        <v>3461983</v>
      </c>
      <c r="R80">
        <f t="shared" si="12"/>
        <v>3585857</v>
      </c>
      <c r="S80">
        <f t="shared" si="12"/>
        <v>3670597</v>
      </c>
      <c r="T80">
        <f t="shared" si="12"/>
        <v>3861702</v>
      </c>
      <c r="U80">
        <f t="shared" si="12"/>
        <v>4069735</v>
      </c>
      <c r="V80">
        <f t="shared" si="12"/>
        <v>4409180</v>
      </c>
      <c r="W80">
        <f t="shared" si="12"/>
        <v>4458824</v>
      </c>
      <c r="X80">
        <f t="shared" si="12"/>
        <v>4540880</v>
      </c>
      <c r="Y80">
        <f t="shared" si="12"/>
        <v>4690562</v>
      </c>
      <c r="Z80">
        <f t="shared" si="12"/>
        <v>4974399</v>
      </c>
      <c r="AA80">
        <f t="shared" si="12"/>
        <v>5004354</v>
      </c>
      <c r="AB80">
        <f t="shared" si="12"/>
        <v>5145060</v>
      </c>
      <c r="AC80">
        <f t="shared" si="12"/>
        <v>5310871</v>
      </c>
      <c r="AD80">
        <f t="shared" si="12"/>
        <v>5472716</v>
      </c>
      <c r="AE80">
        <f t="shared" si="12"/>
        <v>5571482</v>
      </c>
      <c r="AF80">
        <f t="shared" si="12"/>
        <v>5721311</v>
      </c>
      <c r="AG80">
        <f t="shared" si="12"/>
        <v>5595017</v>
      </c>
      <c r="AH80">
        <f t="shared" si="12"/>
        <v>5652820</v>
      </c>
      <c r="AI80">
        <f t="shared" si="12"/>
        <v>5792616</v>
      </c>
      <c r="AJ80">
        <f t="shared" si="12"/>
        <v>5948311</v>
      </c>
      <c r="AK80">
        <f t="shared" si="12"/>
        <v>6018693</v>
      </c>
      <c r="AL80">
        <f t="shared" si="12"/>
        <v>6069151</v>
      </c>
      <c r="AM80">
        <f t="shared" si="12"/>
        <v>6157966</v>
      </c>
      <c r="AN80">
        <f t="shared" si="12"/>
        <v>6172631</v>
      </c>
      <c r="AO80">
        <f t="shared" si="12"/>
        <v>6163141</v>
      </c>
      <c r="AP80">
        <f t="shared" si="12"/>
        <v>6105885</v>
      </c>
      <c r="AQ80">
        <f t="shared" si="12"/>
        <v>6146221</v>
      </c>
      <c r="AR80">
        <f t="shared" si="12"/>
        <v>6284434</v>
      </c>
      <c r="AS80">
        <f t="shared" si="12"/>
        <v>6279053</v>
      </c>
      <c r="AT80">
        <f t="shared" si="12"/>
        <v>6155875</v>
      </c>
      <c r="AU80">
        <f t="shared" si="12"/>
        <v>6002797</v>
      </c>
      <c r="AV80">
        <f t="shared" si="12"/>
        <v>6075334</v>
      </c>
      <c r="AW80">
        <f t="shared" si="12"/>
        <v>6151906</v>
      </c>
      <c r="AX80">
        <f t="shared" si="12"/>
        <v>6301939</v>
      </c>
      <c r="AY80">
        <f t="shared" si="12"/>
        <v>6211279</v>
      </c>
      <c r="AZ80">
        <f t="shared" si="12"/>
        <v>6223434</v>
      </c>
      <c r="BA80">
        <f t="shared" si="12"/>
        <v>6225015</v>
      </c>
      <c r="BB80">
        <f t="shared" si="12"/>
        <v>6225896</v>
      </c>
      <c r="BC80">
        <f t="shared" si="12"/>
        <v>6270130</v>
      </c>
      <c r="BD80">
        <f t="shared" si="12"/>
        <v>6473999</v>
      </c>
      <c r="BE80">
        <f t="shared" si="12"/>
        <v>6625860</v>
      </c>
      <c r="BF80">
        <f t="shared" si="12"/>
        <v>6960290</v>
      </c>
      <c r="BG80">
        <f t="shared" si="12"/>
        <v>6917822</v>
      </c>
      <c r="BH80">
        <f t="shared" si="12"/>
        <v>7059898</v>
      </c>
      <c r="BI80">
        <f t="shared" si="12"/>
        <v>7199344</v>
      </c>
      <c r="BJ80">
        <f t="shared" si="12"/>
        <v>7253228</v>
      </c>
      <c r="BK80">
        <f t="shared" si="12"/>
        <v>7291566</v>
      </c>
      <c r="BL80">
        <f t="shared" si="12"/>
        <v>7295920</v>
      </c>
      <c r="BM80">
        <f t="shared" si="12"/>
        <v>7518880</v>
      </c>
      <c r="BN80">
        <f t="shared" si="12"/>
        <v>7570896</v>
      </c>
      <c r="BO80">
        <f t="shared" si="12"/>
        <v>7740370</v>
      </c>
      <c r="BP80">
        <f t="shared" si="12"/>
        <v>7604400</v>
      </c>
      <c r="BQ80">
        <f t="shared" ref="BQ80:CA80" si="13">BQ57+BQ54</f>
        <v>7416943</v>
      </c>
      <c r="BR80">
        <f t="shared" si="13"/>
        <v>7251508</v>
      </c>
      <c r="BS80">
        <f t="shared" si="13"/>
        <v>7294065</v>
      </c>
      <c r="BT80">
        <f t="shared" si="13"/>
        <v>7563126</v>
      </c>
      <c r="BU80">
        <f t="shared" si="13"/>
        <v>7627150</v>
      </c>
      <c r="BV80">
        <f t="shared" si="13"/>
        <v>7610578</v>
      </c>
      <c r="BW80">
        <f t="shared" si="13"/>
        <v>7946509</v>
      </c>
      <c r="BX80">
        <f t="shared" si="13"/>
        <v>8114836</v>
      </c>
      <c r="BY80">
        <f t="shared" si="13"/>
        <v>8210632</v>
      </c>
      <c r="BZ80">
        <f t="shared" si="13"/>
        <v>8678485</v>
      </c>
      <c r="CA80">
        <f t="shared" si="13"/>
        <v>8512857</v>
      </c>
    </row>
    <row r="81" spans="3:80" x14ac:dyDescent="0.2">
      <c r="C81" t="str">
        <f>C73</f>
        <v>Date</v>
      </c>
      <c r="D81" s="1">
        <f t="shared" ref="D81:BO81" si="14">D73</f>
        <v>38777</v>
      </c>
      <c r="E81" s="1">
        <f t="shared" si="14"/>
        <v>38869</v>
      </c>
      <c r="F81" s="1">
        <f t="shared" si="14"/>
        <v>38961</v>
      </c>
      <c r="G81" s="1">
        <f t="shared" si="14"/>
        <v>39052</v>
      </c>
      <c r="H81" s="1">
        <f t="shared" si="14"/>
        <v>39142</v>
      </c>
      <c r="I81" s="1">
        <f t="shared" si="14"/>
        <v>39234</v>
      </c>
      <c r="J81" s="1">
        <f t="shared" si="14"/>
        <v>39326</v>
      </c>
      <c r="K81" s="1">
        <f t="shared" si="14"/>
        <v>39417</v>
      </c>
      <c r="L81" s="1">
        <f t="shared" si="14"/>
        <v>39508</v>
      </c>
      <c r="M81" s="1">
        <f t="shared" si="14"/>
        <v>39600</v>
      </c>
      <c r="N81" s="1">
        <f t="shared" si="14"/>
        <v>39692</v>
      </c>
      <c r="O81" s="1">
        <f t="shared" si="14"/>
        <v>39783</v>
      </c>
      <c r="P81" s="1">
        <f t="shared" si="14"/>
        <v>39873</v>
      </c>
      <c r="Q81" s="1">
        <f t="shared" si="14"/>
        <v>39965</v>
      </c>
      <c r="R81" s="1">
        <f t="shared" si="14"/>
        <v>40057</v>
      </c>
      <c r="S81" s="1">
        <f t="shared" si="14"/>
        <v>40148</v>
      </c>
      <c r="T81" s="1">
        <f t="shared" si="14"/>
        <v>40238</v>
      </c>
      <c r="U81" s="1">
        <f t="shared" si="14"/>
        <v>40330</v>
      </c>
      <c r="V81" s="1">
        <f t="shared" si="14"/>
        <v>40422</v>
      </c>
      <c r="W81" s="1">
        <f t="shared" si="14"/>
        <v>40513</v>
      </c>
      <c r="X81" s="1">
        <f t="shared" si="14"/>
        <v>40603</v>
      </c>
      <c r="Y81" s="1">
        <f t="shared" si="14"/>
        <v>40695</v>
      </c>
      <c r="Z81" s="1">
        <f t="shared" si="14"/>
        <v>40787</v>
      </c>
      <c r="AA81" s="1">
        <f t="shared" si="14"/>
        <v>40878</v>
      </c>
      <c r="AB81" s="1">
        <f t="shared" si="14"/>
        <v>40969</v>
      </c>
      <c r="AC81" s="1">
        <f t="shared" si="14"/>
        <v>41061</v>
      </c>
      <c r="AD81" s="1">
        <f t="shared" si="14"/>
        <v>41153</v>
      </c>
      <c r="AE81" s="1">
        <f t="shared" si="14"/>
        <v>41244</v>
      </c>
      <c r="AF81" s="1">
        <f t="shared" si="14"/>
        <v>41334</v>
      </c>
      <c r="AG81" s="1">
        <f t="shared" si="14"/>
        <v>41426</v>
      </c>
      <c r="AH81" s="1">
        <f t="shared" si="14"/>
        <v>41518</v>
      </c>
      <c r="AI81" s="1">
        <f t="shared" si="14"/>
        <v>41609</v>
      </c>
      <c r="AJ81" s="1">
        <f t="shared" si="14"/>
        <v>41699</v>
      </c>
      <c r="AK81" s="1">
        <f t="shared" si="14"/>
        <v>41791</v>
      </c>
      <c r="AL81" s="1">
        <f t="shared" si="14"/>
        <v>41883</v>
      </c>
      <c r="AM81" s="1">
        <f t="shared" si="14"/>
        <v>41974</v>
      </c>
      <c r="AN81" s="1">
        <f t="shared" si="14"/>
        <v>42064</v>
      </c>
      <c r="AO81" s="1">
        <f t="shared" si="14"/>
        <v>42156</v>
      </c>
      <c r="AP81" s="1">
        <f t="shared" si="14"/>
        <v>42248</v>
      </c>
      <c r="AQ81" s="1">
        <f t="shared" si="14"/>
        <v>42339</v>
      </c>
      <c r="AR81" s="1">
        <f t="shared" si="14"/>
        <v>42430</v>
      </c>
      <c r="AS81" s="1">
        <f t="shared" si="14"/>
        <v>42522</v>
      </c>
      <c r="AT81" s="1">
        <f t="shared" si="14"/>
        <v>42614</v>
      </c>
      <c r="AU81" s="1">
        <f t="shared" si="14"/>
        <v>42705</v>
      </c>
      <c r="AV81" s="1">
        <f t="shared" si="14"/>
        <v>42795</v>
      </c>
      <c r="AW81" s="1">
        <f t="shared" si="14"/>
        <v>42887</v>
      </c>
      <c r="AX81" s="1">
        <f t="shared" si="14"/>
        <v>42979</v>
      </c>
      <c r="AY81" s="1">
        <f t="shared" si="14"/>
        <v>43070</v>
      </c>
      <c r="AZ81" s="1">
        <f t="shared" si="14"/>
        <v>43160</v>
      </c>
      <c r="BA81" s="1">
        <f t="shared" si="14"/>
        <v>43252</v>
      </c>
      <c r="BB81" s="1">
        <f t="shared" si="14"/>
        <v>43344</v>
      </c>
      <c r="BC81" s="1">
        <f t="shared" si="14"/>
        <v>43435</v>
      </c>
      <c r="BD81" s="1">
        <f t="shared" si="14"/>
        <v>43525</v>
      </c>
      <c r="BE81" s="1">
        <f t="shared" si="14"/>
        <v>43617</v>
      </c>
      <c r="BF81" s="1">
        <f t="shared" si="14"/>
        <v>43709</v>
      </c>
      <c r="BG81" s="1">
        <f t="shared" si="14"/>
        <v>43800</v>
      </c>
      <c r="BH81" s="1">
        <f t="shared" si="14"/>
        <v>43891</v>
      </c>
      <c r="BI81" s="1">
        <f t="shared" si="14"/>
        <v>43983</v>
      </c>
      <c r="BJ81" s="1">
        <f t="shared" si="14"/>
        <v>44075</v>
      </c>
      <c r="BK81" s="1">
        <f t="shared" si="14"/>
        <v>44166</v>
      </c>
      <c r="BL81" s="1">
        <f t="shared" si="14"/>
        <v>44256</v>
      </c>
      <c r="BM81" s="1">
        <f t="shared" si="14"/>
        <v>44348</v>
      </c>
      <c r="BN81" s="1">
        <f t="shared" si="14"/>
        <v>44440</v>
      </c>
      <c r="BO81" s="1">
        <f t="shared" si="14"/>
        <v>44531</v>
      </c>
      <c r="BP81" s="1">
        <f t="shared" ref="BP81:CA81" si="15">BP73</f>
        <v>44621</v>
      </c>
      <c r="BQ81" s="1">
        <f t="shared" si="15"/>
        <v>44713</v>
      </c>
      <c r="BR81" s="1">
        <f t="shared" si="15"/>
        <v>44805</v>
      </c>
      <c r="BS81" s="1">
        <f t="shared" si="15"/>
        <v>44896</v>
      </c>
      <c r="BT81" s="1">
        <f t="shared" si="15"/>
        <v>44986</v>
      </c>
      <c r="BU81" s="1">
        <f t="shared" si="15"/>
        <v>45078</v>
      </c>
      <c r="BV81" s="1">
        <f t="shared" si="15"/>
        <v>45170</v>
      </c>
      <c r="BW81" s="1">
        <f t="shared" si="15"/>
        <v>45261</v>
      </c>
      <c r="BX81" s="1">
        <f t="shared" si="15"/>
        <v>45352</v>
      </c>
      <c r="BY81" s="1">
        <f t="shared" si="15"/>
        <v>45444</v>
      </c>
      <c r="BZ81" s="1">
        <f t="shared" si="15"/>
        <v>45536</v>
      </c>
      <c r="CA81" s="1">
        <f t="shared" si="15"/>
        <v>45627</v>
      </c>
    </row>
    <row r="82" spans="3:80" x14ac:dyDescent="0.2">
      <c r="C82" t="s">
        <v>63</v>
      </c>
      <c r="D82">
        <f>D76/D78</f>
        <v>0.85022433015364629</v>
      </c>
      <c r="E82">
        <f t="shared" ref="E82:BP82" si="16">E76/E78</f>
        <v>0.80775265454085066</v>
      </c>
      <c r="F82">
        <f t="shared" si="16"/>
        <v>0.80653130161410558</v>
      </c>
      <c r="G82">
        <f t="shared" si="16"/>
        <v>0.82322624759705187</v>
      </c>
      <c r="H82">
        <f t="shared" si="16"/>
        <v>0.78974986285219728</v>
      </c>
      <c r="I82">
        <f t="shared" si="16"/>
        <v>0.82829329970398713</v>
      </c>
      <c r="J82">
        <f t="shared" si="16"/>
        <v>0.83085279014607205</v>
      </c>
      <c r="K82">
        <f t="shared" si="16"/>
        <v>0.77829880267568485</v>
      </c>
      <c r="L82">
        <f t="shared" si="16"/>
        <v>0.69437455887887067</v>
      </c>
      <c r="M82">
        <f t="shared" si="16"/>
        <v>0.67880635031122916</v>
      </c>
      <c r="N82">
        <f t="shared" si="16"/>
        <v>0.64209995702246514</v>
      </c>
      <c r="O82">
        <f t="shared" si="16"/>
        <v>0.49002332416270383</v>
      </c>
      <c r="P82">
        <f t="shared" si="16"/>
        <v>0.43735191025373854</v>
      </c>
      <c r="Q82">
        <f t="shared" si="16"/>
        <v>0.50326567106710285</v>
      </c>
      <c r="R82">
        <f t="shared" si="16"/>
        <v>0.5804364106616855</v>
      </c>
      <c r="S82">
        <f t="shared" si="16"/>
        <v>0.62790808438383861</v>
      </c>
      <c r="T82">
        <f t="shared" si="16"/>
        <v>0.65739988786877468</v>
      </c>
      <c r="U82">
        <f t="shared" si="16"/>
        <v>0.57181020749607292</v>
      </c>
      <c r="V82">
        <f t="shared" si="16"/>
        <v>0.6103497821529531</v>
      </c>
      <c r="W82">
        <f t="shared" si="16"/>
        <v>0.68179390546672891</v>
      </c>
      <c r="X82">
        <f t="shared" si="16"/>
        <v>0.71668646007852299</v>
      </c>
      <c r="Y82">
        <f t="shared" si="16"/>
        <v>0.70741522516676059</v>
      </c>
      <c r="Z82">
        <f t="shared" si="16"/>
        <v>0.60134404329547897</v>
      </c>
      <c r="AA82">
        <f t="shared" si="16"/>
        <v>0.67856953898410799</v>
      </c>
      <c r="AB82">
        <f t="shared" si="16"/>
        <v>0.75342598786086779</v>
      </c>
      <c r="AC82">
        <f t="shared" si="16"/>
        <v>0.72992469099891277</v>
      </c>
      <c r="AD82">
        <f t="shared" si="16"/>
        <v>0.75186984399130596</v>
      </c>
      <c r="AE82">
        <f t="shared" si="16"/>
        <v>0.74542445549407566</v>
      </c>
      <c r="AF82">
        <f t="shared" si="16"/>
        <v>0.80566892647692512</v>
      </c>
      <c r="AG82">
        <f t="shared" si="16"/>
        <v>0.8351188136060389</v>
      </c>
      <c r="AH82">
        <f t="shared" si="16"/>
        <v>0.87182634126487213</v>
      </c>
      <c r="AI82">
        <f t="shared" si="16"/>
        <v>0.93297165102182489</v>
      </c>
      <c r="AJ82">
        <f t="shared" si="16"/>
        <v>0.92628591133961147</v>
      </c>
      <c r="AK82">
        <f t="shared" si="16"/>
        <v>0.9566213721865815</v>
      </c>
      <c r="AL82">
        <f t="shared" si="16"/>
        <v>0.95714057298056909</v>
      </c>
      <c r="AM82">
        <f t="shared" si="16"/>
        <v>0.9809426121495407</v>
      </c>
      <c r="AN82">
        <f t="shared" si="16"/>
        <v>0.98621757366076057</v>
      </c>
      <c r="AO82">
        <f t="shared" si="16"/>
        <v>0.97115795215447265</v>
      </c>
      <c r="AP82">
        <f t="shared" si="16"/>
        <v>0.90341787534189477</v>
      </c>
      <c r="AQ82">
        <f t="shared" si="16"/>
        <v>0.93893890115935363</v>
      </c>
      <c r="AR82">
        <f t="shared" si="16"/>
        <v>0.91821119815030894</v>
      </c>
      <c r="AS82">
        <f t="shared" si="16"/>
        <v>0.91808844776905785</v>
      </c>
      <c r="AT82">
        <f t="shared" si="16"/>
        <v>0.95230769447994845</v>
      </c>
      <c r="AU82">
        <f t="shared" si="16"/>
        <v>0.99332078107813249</v>
      </c>
      <c r="AV82">
        <f t="shared" si="16"/>
        <v>1.049293967378393</v>
      </c>
      <c r="AW82">
        <f t="shared" si="16"/>
        <v>1.0492962753800028</v>
      </c>
      <c r="AX82">
        <f t="shared" si="16"/>
        <v>1.0779560507770216</v>
      </c>
      <c r="AY82">
        <f t="shared" si="16"/>
        <v>1.142779415714585</v>
      </c>
      <c r="AZ82">
        <f t="shared" si="16"/>
        <v>1.1435606646210208</v>
      </c>
      <c r="BA82">
        <f t="shared" si="16"/>
        <v>1.1832708848358113</v>
      </c>
      <c r="BB82">
        <f t="shared" si="16"/>
        <v>1.2527300922164823</v>
      </c>
      <c r="BC82">
        <f t="shared" si="16"/>
        <v>1.1028218744583749</v>
      </c>
      <c r="BD82">
        <f t="shared" si="16"/>
        <v>1.1942477550587904</v>
      </c>
      <c r="BE82">
        <f t="shared" si="16"/>
        <v>1.2190280417905104</v>
      </c>
      <c r="BF82">
        <f t="shared" si="16"/>
        <v>1.1837560311791708</v>
      </c>
      <c r="BG82">
        <f t="shared" si="16"/>
        <v>1.2798856317145901</v>
      </c>
      <c r="BH82">
        <f t="shared" si="16"/>
        <v>1.0475247756162254</v>
      </c>
      <c r="BI82">
        <f t="shared" si="16"/>
        <v>1.2129280879489992</v>
      </c>
      <c r="BJ82">
        <f t="shared" si="16"/>
        <v>1.3110411574688223</v>
      </c>
      <c r="BK82">
        <f t="shared" si="16"/>
        <v>1.4780949307848896</v>
      </c>
      <c r="BL82">
        <f t="shared" si="16"/>
        <v>1.5872004848182435</v>
      </c>
      <c r="BM82">
        <f t="shared" si="16"/>
        <v>1.6824578045468583</v>
      </c>
      <c r="BN82">
        <f t="shared" si="16"/>
        <v>1.6841357098783387</v>
      </c>
      <c r="BO82">
        <f t="shared" si="16"/>
        <v>1.8423358576697768</v>
      </c>
      <c r="BP82">
        <f t="shared" si="16"/>
        <v>1.7803688362813017</v>
      </c>
      <c r="BQ82">
        <f t="shared" ref="BQ82:CA82" si="17">BQ76/BQ78</f>
        <v>1.5570521994522069</v>
      </c>
      <c r="BR82">
        <f t="shared" si="17"/>
        <v>1.5048695055827723</v>
      </c>
      <c r="BS82">
        <f t="shared" si="17"/>
        <v>1.5737711095607518</v>
      </c>
      <c r="BT82">
        <f t="shared" si="17"/>
        <v>1.6297037952890108</v>
      </c>
      <c r="BU82">
        <f t="shared" si="17"/>
        <v>1.727469949863756</v>
      </c>
      <c r="BV82">
        <f t="shared" si="17"/>
        <v>1.6749979278377252</v>
      </c>
      <c r="BW82">
        <f t="shared" si="17"/>
        <v>1.764146062605352</v>
      </c>
      <c r="BX82">
        <f t="shared" si="17"/>
        <v>1.9023141874577416</v>
      </c>
      <c r="BY82">
        <f t="shared" si="17"/>
        <v>1.9489425960909623</v>
      </c>
      <c r="BZ82">
        <f t="shared" si="17"/>
        <v>1.9709942258419075</v>
      </c>
      <c r="CA82">
        <f t="shared" si="17"/>
        <v>2.0681048643250377</v>
      </c>
    </row>
    <row r="83" spans="3:80" x14ac:dyDescent="0.2">
      <c r="C83" t="s">
        <v>64</v>
      </c>
      <c r="D83">
        <f>D77/D79</f>
        <v>0.476925751840444</v>
      </c>
      <c r="E83">
        <f t="shared" ref="E83:BP83" si="18">E77/E79</f>
        <v>0.45355422058739303</v>
      </c>
      <c r="F83">
        <f t="shared" si="18"/>
        <v>0.45273096073312286</v>
      </c>
      <c r="G83">
        <f t="shared" si="18"/>
        <v>0.46134562093188114</v>
      </c>
      <c r="H83">
        <f t="shared" si="18"/>
        <v>0.44353528886807458</v>
      </c>
      <c r="I83">
        <f t="shared" si="18"/>
        <v>0.47053696450783578</v>
      </c>
      <c r="J83">
        <f t="shared" si="18"/>
        <v>0.47309995974089697</v>
      </c>
      <c r="K83">
        <f t="shared" si="18"/>
        <v>0.4554621403423072</v>
      </c>
      <c r="L83">
        <f t="shared" si="18"/>
        <v>0.4092381896784183</v>
      </c>
      <c r="M83">
        <f t="shared" si="18"/>
        <v>0.40353050185410327</v>
      </c>
      <c r="N83">
        <f t="shared" si="18"/>
        <v>0.38218798214816152</v>
      </c>
      <c r="O83">
        <f t="shared" si="18"/>
        <v>0.29038611332018782</v>
      </c>
      <c r="P83">
        <f t="shared" si="18"/>
        <v>0.26223659439674268</v>
      </c>
      <c r="Q83">
        <f t="shared" si="18"/>
        <v>0.30513330625470297</v>
      </c>
      <c r="R83">
        <f t="shared" si="18"/>
        <v>0.35541487495692886</v>
      </c>
      <c r="S83">
        <f t="shared" si="18"/>
        <v>0.38667556904046663</v>
      </c>
      <c r="T83">
        <f t="shared" si="18"/>
        <v>0.40890911920120876</v>
      </c>
      <c r="U83">
        <f t="shared" si="18"/>
        <v>0.35758938572011428</v>
      </c>
      <c r="V83">
        <f t="shared" si="18"/>
        <v>0.37923587570824258</v>
      </c>
      <c r="W83">
        <f t="shared" si="18"/>
        <v>0.42599531230458176</v>
      </c>
      <c r="X83">
        <f t="shared" si="18"/>
        <v>0.45044992737591422</v>
      </c>
      <c r="Y83">
        <f t="shared" si="18"/>
        <v>0.44519093101923918</v>
      </c>
      <c r="Z83">
        <f t="shared" si="18"/>
        <v>0.38055641907664411</v>
      </c>
      <c r="AA83">
        <f t="shared" si="18"/>
        <v>0.43631479617713881</v>
      </c>
      <c r="AB83">
        <f t="shared" si="18"/>
        <v>0.48562542532409936</v>
      </c>
      <c r="AC83">
        <f t="shared" si="18"/>
        <v>0.47166978523233083</v>
      </c>
      <c r="AD83">
        <f t="shared" si="18"/>
        <v>0.48450982360222178</v>
      </c>
      <c r="AE83">
        <f t="shared" si="18"/>
        <v>0.48183167145527261</v>
      </c>
      <c r="AF83">
        <f t="shared" si="18"/>
        <v>0.52255619297309863</v>
      </c>
      <c r="AG83">
        <f t="shared" si="18"/>
        <v>0.54261406570808968</v>
      </c>
      <c r="AH83">
        <f t="shared" si="18"/>
        <v>0.56984970386633882</v>
      </c>
      <c r="AI83">
        <f t="shared" si="18"/>
        <v>0.60605678555525044</v>
      </c>
      <c r="AJ83">
        <f t="shared" si="18"/>
        <v>0.6121340087128162</v>
      </c>
      <c r="AK83">
        <f t="shared" si="18"/>
        <v>0.63082953229473426</v>
      </c>
      <c r="AL83">
        <f t="shared" si="18"/>
        <v>0.63530300529900996</v>
      </c>
      <c r="AM83">
        <f t="shared" si="18"/>
        <v>0.64620359073822198</v>
      </c>
      <c r="AN83">
        <f t="shared" si="18"/>
        <v>0.646557371252101</v>
      </c>
      <c r="AO83">
        <f t="shared" si="18"/>
        <v>0.63401191500510379</v>
      </c>
      <c r="AP83">
        <f t="shared" si="18"/>
        <v>0.58496063502271189</v>
      </c>
      <c r="AQ83">
        <f t="shared" si="18"/>
        <v>0.59492375320094371</v>
      </c>
      <c r="AR83">
        <f t="shared" si="18"/>
        <v>0.57152632447328144</v>
      </c>
      <c r="AS83">
        <f t="shared" si="18"/>
        <v>0.56413391834150928</v>
      </c>
      <c r="AT83">
        <f t="shared" si="18"/>
        <v>0.58871917717743005</v>
      </c>
      <c r="AU83">
        <f t="shared" si="18"/>
        <v>0.60893172174133869</v>
      </c>
      <c r="AV83">
        <f t="shared" si="18"/>
        <v>0.64307883495943807</v>
      </c>
      <c r="AW83">
        <f t="shared" si="18"/>
        <v>0.63901502057631454</v>
      </c>
      <c r="AX83">
        <f t="shared" si="18"/>
        <v>0.65724104626701774</v>
      </c>
      <c r="AY83">
        <f t="shared" si="18"/>
        <v>0.69317750650599841</v>
      </c>
      <c r="AZ83">
        <f t="shared" si="18"/>
        <v>0.69943498695459716</v>
      </c>
      <c r="BA83">
        <f t="shared" si="18"/>
        <v>0.7196619991912977</v>
      </c>
      <c r="BB83">
        <f t="shared" si="18"/>
        <v>0.75289744032698114</v>
      </c>
      <c r="BC83">
        <f t="shared" si="18"/>
        <v>0.66689659576959937</v>
      </c>
      <c r="BD83">
        <f t="shared" si="18"/>
        <v>0.70664323849775634</v>
      </c>
      <c r="BE83">
        <f t="shared" si="18"/>
        <v>0.72179918212745109</v>
      </c>
      <c r="BF83">
        <f t="shared" si="18"/>
        <v>0.69548932024449983</v>
      </c>
      <c r="BG83">
        <f t="shared" si="18"/>
        <v>0.74564834512228206</v>
      </c>
      <c r="BH83">
        <f t="shared" si="18"/>
        <v>0.62360684822682333</v>
      </c>
      <c r="BI83">
        <f t="shared" si="18"/>
        <v>0.71326405885277522</v>
      </c>
      <c r="BJ83">
        <f t="shared" si="18"/>
        <v>0.77842567659702822</v>
      </c>
      <c r="BK83">
        <f t="shared" si="18"/>
        <v>0.88733458206389637</v>
      </c>
      <c r="BL83">
        <f t="shared" si="18"/>
        <v>0.95770774219023391</v>
      </c>
      <c r="BM83">
        <f t="shared" si="18"/>
        <v>1.0135528530518996</v>
      </c>
      <c r="BN83">
        <f t="shared" si="18"/>
        <v>1.0171690178242585</v>
      </c>
      <c r="BO83">
        <f t="shared" si="18"/>
        <v>1.1114806584656063</v>
      </c>
      <c r="BP83">
        <f t="shared" si="18"/>
        <v>1.0767778883692209</v>
      </c>
      <c r="BQ83">
        <f t="shared" ref="BQ83:CA83" si="19">BQ77/BQ79</f>
        <v>0.95408340784283641</v>
      </c>
      <c r="BR83">
        <f t="shared" si="19"/>
        <v>0.92964305474768394</v>
      </c>
      <c r="BS83">
        <f t="shared" si="19"/>
        <v>0.96335523309647775</v>
      </c>
      <c r="BT83">
        <f t="shared" si="19"/>
        <v>0.98805518295019357</v>
      </c>
      <c r="BU83">
        <f t="shared" si="19"/>
        <v>1.0416892085535912</v>
      </c>
      <c r="BV83">
        <f t="shared" si="19"/>
        <v>1.0174420441386784</v>
      </c>
      <c r="BW83">
        <f t="shared" si="19"/>
        <v>1.0616885151912794</v>
      </c>
      <c r="BX83">
        <f t="shared" si="19"/>
        <v>1.1435386478741052</v>
      </c>
      <c r="BY83">
        <f t="shared" si="19"/>
        <v>1.1739791016740511</v>
      </c>
      <c r="BZ83">
        <f t="shared" si="19"/>
        <v>1.1875725614442121</v>
      </c>
      <c r="CA83">
        <f t="shared" si="19"/>
        <v>1.2594877763729855</v>
      </c>
    </row>
    <row r="84" spans="3:80" x14ac:dyDescent="0.2">
      <c r="C84" t="str">
        <f>C81</f>
        <v>Date</v>
      </c>
      <c r="D84" s="1">
        <f t="shared" ref="D84:BO84" si="20">D81</f>
        <v>38777</v>
      </c>
      <c r="E84" s="1">
        <f t="shared" si="20"/>
        <v>38869</v>
      </c>
      <c r="F84" s="1">
        <f t="shared" si="20"/>
        <v>38961</v>
      </c>
      <c r="G84" s="1">
        <f t="shared" si="20"/>
        <v>39052</v>
      </c>
      <c r="H84" s="1">
        <f t="shared" si="20"/>
        <v>39142</v>
      </c>
      <c r="I84" s="1">
        <f t="shared" si="20"/>
        <v>39234</v>
      </c>
      <c r="J84" s="1">
        <f t="shared" si="20"/>
        <v>39326</v>
      </c>
      <c r="K84" s="1">
        <f t="shared" si="20"/>
        <v>39417</v>
      </c>
      <c r="L84" s="1">
        <f t="shared" si="20"/>
        <v>39508</v>
      </c>
      <c r="M84" s="1">
        <f t="shared" si="20"/>
        <v>39600</v>
      </c>
      <c r="N84" s="1">
        <f t="shared" si="20"/>
        <v>39692</v>
      </c>
      <c r="O84" s="1">
        <f t="shared" si="20"/>
        <v>39783</v>
      </c>
      <c r="P84" s="1">
        <f t="shared" si="20"/>
        <v>39873</v>
      </c>
      <c r="Q84" s="1">
        <f t="shared" si="20"/>
        <v>39965</v>
      </c>
      <c r="R84" s="1">
        <f t="shared" si="20"/>
        <v>40057</v>
      </c>
      <c r="S84" s="1">
        <f t="shared" si="20"/>
        <v>40148</v>
      </c>
      <c r="T84" s="1">
        <f t="shared" si="20"/>
        <v>40238</v>
      </c>
      <c r="U84" s="1">
        <f t="shared" si="20"/>
        <v>40330</v>
      </c>
      <c r="V84" s="1">
        <f t="shared" si="20"/>
        <v>40422</v>
      </c>
      <c r="W84" s="1">
        <f t="shared" si="20"/>
        <v>40513</v>
      </c>
      <c r="X84" s="1">
        <f t="shared" si="20"/>
        <v>40603</v>
      </c>
      <c r="Y84" s="1">
        <f t="shared" si="20"/>
        <v>40695</v>
      </c>
      <c r="Z84" s="1">
        <f t="shared" si="20"/>
        <v>40787</v>
      </c>
      <c r="AA84" s="1">
        <f t="shared" si="20"/>
        <v>40878</v>
      </c>
      <c r="AB84" s="1">
        <f t="shared" si="20"/>
        <v>40969</v>
      </c>
      <c r="AC84" s="1">
        <f t="shared" si="20"/>
        <v>41061</v>
      </c>
      <c r="AD84" s="1">
        <f t="shared" si="20"/>
        <v>41153</v>
      </c>
      <c r="AE84" s="1">
        <f t="shared" si="20"/>
        <v>41244</v>
      </c>
      <c r="AF84" s="1">
        <f t="shared" si="20"/>
        <v>41334</v>
      </c>
      <c r="AG84" s="1">
        <f t="shared" si="20"/>
        <v>41426</v>
      </c>
      <c r="AH84" s="1">
        <f t="shared" si="20"/>
        <v>41518</v>
      </c>
      <c r="AI84" s="1">
        <f t="shared" si="20"/>
        <v>41609</v>
      </c>
      <c r="AJ84" s="1">
        <f t="shared" si="20"/>
        <v>41699</v>
      </c>
      <c r="AK84" s="1">
        <f t="shared" si="20"/>
        <v>41791</v>
      </c>
      <c r="AL84" s="1">
        <f t="shared" si="20"/>
        <v>41883</v>
      </c>
      <c r="AM84" s="1">
        <f t="shared" si="20"/>
        <v>41974</v>
      </c>
      <c r="AN84" s="1">
        <f t="shared" si="20"/>
        <v>42064</v>
      </c>
      <c r="AO84" s="1">
        <f t="shared" si="20"/>
        <v>42156</v>
      </c>
      <c r="AP84" s="1">
        <f t="shared" si="20"/>
        <v>42248</v>
      </c>
      <c r="AQ84" s="1">
        <f t="shared" si="20"/>
        <v>42339</v>
      </c>
      <c r="AR84" s="1">
        <f t="shared" si="20"/>
        <v>42430</v>
      </c>
      <c r="AS84" s="1">
        <f t="shared" si="20"/>
        <v>42522</v>
      </c>
      <c r="AT84" s="1">
        <f t="shared" si="20"/>
        <v>42614</v>
      </c>
      <c r="AU84" s="1">
        <f t="shared" si="20"/>
        <v>42705</v>
      </c>
      <c r="AV84" s="1">
        <f t="shared" si="20"/>
        <v>42795</v>
      </c>
      <c r="AW84" s="1">
        <f t="shared" si="20"/>
        <v>42887</v>
      </c>
      <c r="AX84" s="1">
        <f t="shared" si="20"/>
        <v>42979</v>
      </c>
      <c r="AY84" s="1">
        <f t="shared" si="20"/>
        <v>43070</v>
      </c>
      <c r="AZ84" s="1">
        <f t="shared" si="20"/>
        <v>43160</v>
      </c>
      <c r="BA84" s="1">
        <f t="shared" si="20"/>
        <v>43252</v>
      </c>
      <c r="BB84" s="1">
        <f t="shared" si="20"/>
        <v>43344</v>
      </c>
      <c r="BC84" s="1">
        <f t="shared" si="20"/>
        <v>43435</v>
      </c>
      <c r="BD84" s="1">
        <f t="shared" si="20"/>
        <v>43525</v>
      </c>
      <c r="BE84" s="1">
        <f t="shared" si="20"/>
        <v>43617</v>
      </c>
      <c r="BF84" s="1">
        <f t="shared" si="20"/>
        <v>43709</v>
      </c>
      <c r="BG84" s="1">
        <f t="shared" si="20"/>
        <v>43800</v>
      </c>
      <c r="BH84" s="1">
        <f t="shared" si="20"/>
        <v>43891</v>
      </c>
      <c r="BI84" s="1">
        <f t="shared" si="20"/>
        <v>43983</v>
      </c>
      <c r="BJ84" s="1">
        <f t="shared" si="20"/>
        <v>44075</v>
      </c>
      <c r="BK84" s="1">
        <f t="shared" si="20"/>
        <v>44166</v>
      </c>
      <c r="BL84" s="1">
        <f t="shared" si="20"/>
        <v>44256</v>
      </c>
      <c r="BM84" s="1">
        <f t="shared" si="20"/>
        <v>44348</v>
      </c>
      <c r="BN84" s="1">
        <f t="shared" si="20"/>
        <v>44440</v>
      </c>
      <c r="BO84" s="1">
        <f t="shared" si="20"/>
        <v>44531</v>
      </c>
      <c r="BP84" s="1">
        <f t="shared" ref="BP84:CA84" si="21">BP81</f>
        <v>44621</v>
      </c>
      <c r="BQ84" s="1">
        <f t="shared" si="21"/>
        <v>44713</v>
      </c>
      <c r="BR84" s="1">
        <f t="shared" si="21"/>
        <v>44805</v>
      </c>
      <c r="BS84" s="1">
        <f t="shared" si="21"/>
        <v>44896</v>
      </c>
      <c r="BT84" s="1">
        <f t="shared" si="21"/>
        <v>44986</v>
      </c>
      <c r="BU84" s="1">
        <f t="shared" si="21"/>
        <v>45078</v>
      </c>
      <c r="BV84" s="1">
        <f t="shared" si="21"/>
        <v>45170</v>
      </c>
      <c r="BW84" s="1">
        <f t="shared" si="21"/>
        <v>45261</v>
      </c>
      <c r="BX84" s="1">
        <f t="shared" si="21"/>
        <v>45352</v>
      </c>
      <c r="BY84" s="1">
        <f t="shared" si="21"/>
        <v>45444</v>
      </c>
      <c r="BZ84" s="1">
        <f t="shared" si="21"/>
        <v>45536</v>
      </c>
      <c r="CA84" s="1">
        <f t="shared" si="21"/>
        <v>45627</v>
      </c>
    </row>
    <row r="85" spans="3:80" x14ac:dyDescent="0.2">
      <c r="C85" t="s">
        <v>70</v>
      </c>
      <c r="D85" s="5">
        <f>D76/D75</f>
        <v>0.31322717028832359</v>
      </c>
      <c r="E85" s="5">
        <f t="shared" ref="E85:BP85" si="22">E76/E75</f>
        <v>0.30342140353844249</v>
      </c>
      <c r="F85" s="5">
        <f t="shared" si="22"/>
        <v>0.3077675716330977</v>
      </c>
      <c r="G85" s="5">
        <f t="shared" si="22"/>
        <v>0.31218139576012754</v>
      </c>
      <c r="H85" s="5">
        <f t="shared" si="22"/>
        <v>0.30559919699171462</v>
      </c>
      <c r="I85" s="5">
        <f t="shared" si="22"/>
        <v>0.31037320369101001</v>
      </c>
      <c r="J85" s="5">
        <f t="shared" si="22"/>
        <v>0.30969841394086783</v>
      </c>
      <c r="K85" s="5">
        <f t="shared" si="22"/>
        <v>0.2878987059495462</v>
      </c>
      <c r="L85" s="5">
        <f t="shared" si="22"/>
        <v>0.2466583550087906</v>
      </c>
      <c r="M85" s="5">
        <f t="shared" si="22"/>
        <v>0.25198752722936812</v>
      </c>
      <c r="N85" s="5">
        <f t="shared" si="22"/>
        <v>0.24443294251932085</v>
      </c>
      <c r="O85" s="5">
        <f t="shared" si="22"/>
        <v>0.17648024114727373</v>
      </c>
      <c r="P85" s="5">
        <f t="shared" si="22"/>
        <v>0.16604962265446585</v>
      </c>
      <c r="Q85" s="5">
        <f t="shared" si="22"/>
        <v>0.20237568959856658</v>
      </c>
      <c r="R85" s="5">
        <f t="shared" si="22"/>
        <v>0.22538986774604061</v>
      </c>
      <c r="S85" s="5">
        <f t="shared" si="22"/>
        <v>0.24628462255405292</v>
      </c>
      <c r="T85" s="5">
        <f t="shared" si="22"/>
        <v>0.25676485129117482</v>
      </c>
      <c r="U85" s="5">
        <f t="shared" si="22"/>
        <v>0.22388084709112441</v>
      </c>
      <c r="V85" s="5">
        <f t="shared" si="22"/>
        <v>0.23491547460555989</v>
      </c>
      <c r="W85" s="5">
        <f t="shared" si="22"/>
        <v>0.26662370608039609</v>
      </c>
      <c r="X85" s="5">
        <f t="shared" si="22"/>
        <v>0.27787427489996896</v>
      </c>
      <c r="Y85" s="5">
        <f t="shared" si="22"/>
        <v>0.2750064794200146</v>
      </c>
      <c r="Z85" s="5">
        <f t="shared" si="22"/>
        <v>0.2289948712606181</v>
      </c>
      <c r="AA85" s="5">
        <f t="shared" si="22"/>
        <v>0.2554079322214779</v>
      </c>
      <c r="AB85" s="5">
        <f t="shared" si="22"/>
        <v>0.28606473875789201</v>
      </c>
      <c r="AC85" s="5">
        <f t="shared" si="22"/>
        <v>0.28039793600546997</v>
      </c>
      <c r="AD85" s="5">
        <f t="shared" si="22"/>
        <v>0.29070176604405801</v>
      </c>
      <c r="AE85" s="5">
        <f t="shared" si="22"/>
        <v>0.29398644188918432</v>
      </c>
      <c r="AF85" s="5">
        <f t="shared" si="22"/>
        <v>0.31525616415520114</v>
      </c>
      <c r="AG85" s="5">
        <f t="shared" si="22"/>
        <v>0.32492327176922386</v>
      </c>
      <c r="AH85" s="5">
        <f t="shared" si="22"/>
        <v>0.33778149652418932</v>
      </c>
      <c r="AI85" s="5">
        <f t="shared" si="22"/>
        <v>0.34925859662287201</v>
      </c>
      <c r="AJ85" s="5">
        <f t="shared" si="22"/>
        <v>0.35223541462344621</v>
      </c>
      <c r="AK85" s="5">
        <f t="shared" si="22"/>
        <v>0.35920373646259018</v>
      </c>
      <c r="AL85" s="5">
        <f t="shared" si="22"/>
        <v>0.3592428085554748</v>
      </c>
      <c r="AM85" s="5">
        <f t="shared" si="22"/>
        <v>0.36251567158589409</v>
      </c>
      <c r="AN85" s="5">
        <f t="shared" si="22"/>
        <v>0.36305622774881424</v>
      </c>
      <c r="AO85" s="5">
        <f t="shared" si="22"/>
        <v>0.37252391922841033</v>
      </c>
      <c r="AP85" s="5">
        <f t="shared" si="22"/>
        <v>0.35191225418133065</v>
      </c>
      <c r="AQ85" s="5">
        <f t="shared" si="22"/>
        <v>0.36641814991782556</v>
      </c>
      <c r="AR85" s="5">
        <f t="shared" si="22"/>
        <v>0.35553576947748461</v>
      </c>
      <c r="AS85" s="5">
        <f t="shared" si="22"/>
        <v>0.35310605497897313</v>
      </c>
      <c r="AT85" s="5">
        <f t="shared" si="22"/>
        <v>0.36931491987268017</v>
      </c>
      <c r="AU85" s="5">
        <f t="shared" si="22"/>
        <v>0.38536319278803044</v>
      </c>
      <c r="AV85" s="5">
        <f t="shared" si="22"/>
        <v>0.4003545504679068</v>
      </c>
      <c r="AW85" s="5">
        <f t="shared" si="22"/>
        <v>0.40140403770483979</v>
      </c>
      <c r="AX85" s="5">
        <f t="shared" si="22"/>
        <v>0.41086180566046293</v>
      </c>
      <c r="AY85" s="5">
        <f t="shared" si="22"/>
        <v>0.42519690131173227</v>
      </c>
      <c r="AZ85" s="5">
        <f t="shared" si="22"/>
        <v>0.42385297272310973</v>
      </c>
      <c r="BA85" s="5">
        <f t="shared" si="22"/>
        <v>0.42911233913685271</v>
      </c>
      <c r="BB85" s="5">
        <f t="shared" si="22"/>
        <v>0.44476767217389868</v>
      </c>
      <c r="BC85" s="5">
        <f t="shared" si="22"/>
        <v>0.40927515440263468</v>
      </c>
      <c r="BD85" s="5">
        <f t="shared" si="22"/>
        <v>0.43010405300197929</v>
      </c>
      <c r="BE85" s="5">
        <f t="shared" si="22"/>
        <v>0.43305473711915726</v>
      </c>
      <c r="BF85" s="5">
        <f t="shared" si="22"/>
        <v>0.42533757481313506</v>
      </c>
      <c r="BG85" s="5">
        <f t="shared" si="22"/>
        <v>0.44645847025907481</v>
      </c>
      <c r="BH85" s="5">
        <f t="shared" si="22"/>
        <v>0.37618649128671744</v>
      </c>
      <c r="BI85" s="5">
        <f t="shared" si="22"/>
        <v>0.42112279091514182</v>
      </c>
      <c r="BJ85" s="5">
        <f t="shared" si="22"/>
        <v>0.44342093169110158</v>
      </c>
      <c r="BK85" s="5">
        <f t="shared" si="22"/>
        <v>0.47273285047800623</v>
      </c>
      <c r="BL85" s="5">
        <f t="shared" si="22"/>
        <v>0.49212143510558543</v>
      </c>
      <c r="BM85" s="5">
        <f t="shared" si="22"/>
        <v>0.50803531504053412</v>
      </c>
      <c r="BN85" s="5">
        <f t="shared" si="22"/>
        <v>0.50620631946446937</v>
      </c>
      <c r="BO85" s="5">
        <f t="shared" si="22"/>
        <v>0.52839088790280508</v>
      </c>
      <c r="BP85" s="5">
        <f t="shared" si="22"/>
        <v>0.51272999988924617</v>
      </c>
      <c r="BQ85" s="5">
        <f t="shared" ref="BQ85:CA85" si="23">BQ76/BQ75</f>
        <v>0.47431852797195562</v>
      </c>
      <c r="BR85" s="5">
        <f t="shared" si="23"/>
        <v>0.45880793648644191</v>
      </c>
      <c r="BS85" s="5">
        <f t="shared" si="23"/>
        <v>0.47362479282219921</v>
      </c>
      <c r="BT85" s="5">
        <f t="shared" si="23"/>
        <v>0.48697025707016528</v>
      </c>
      <c r="BU85" s="5">
        <f t="shared" si="23"/>
        <v>0.50164448852080012</v>
      </c>
      <c r="BV85" s="5">
        <f t="shared" si="23"/>
        <v>0.49214276297541681</v>
      </c>
      <c r="BW85" s="5">
        <f t="shared" si="23"/>
        <v>0.51085777119599773</v>
      </c>
      <c r="BX85" s="5">
        <f t="shared" si="23"/>
        <v>0.53124947586265003</v>
      </c>
      <c r="BY85" s="5">
        <f t="shared" si="23"/>
        <v>0.53655379151663707</v>
      </c>
      <c r="BZ85" s="5">
        <f t="shared" si="23"/>
        <v>0.5395499376190992</v>
      </c>
      <c r="CA85" s="5">
        <f t="shared" si="23"/>
        <v>0.55260053044245427</v>
      </c>
    </row>
    <row r="86" spans="3:80" x14ac:dyDescent="0.2">
      <c r="C86" t="s">
        <v>65</v>
      </c>
      <c r="D86">
        <f>D77/D75</f>
        <v>0.15226942658744497</v>
      </c>
      <c r="E86">
        <f t="shared" ref="E86:BP86" si="24">E77/E75</f>
        <v>0.1474766980570219</v>
      </c>
      <c r="F86">
        <f t="shared" si="24"/>
        <v>0.15043526273329094</v>
      </c>
      <c r="G86">
        <f t="shared" si="24"/>
        <v>0.15324636488380852</v>
      </c>
      <c r="H86">
        <f t="shared" si="24"/>
        <v>0.15024745129412673</v>
      </c>
      <c r="I86">
        <f t="shared" si="24"/>
        <v>0.15445043218905957</v>
      </c>
      <c r="J86">
        <f t="shared" si="24"/>
        <v>0.15407382387280044</v>
      </c>
      <c r="K86">
        <f t="shared" si="24"/>
        <v>0.14700016320963669</v>
      </c>
      <c r="L86">
        <f t="shared" si="24"/>
        <v>0.12685399255540256</v>
      </c>
      <c r="M86">
        <f t="shared" si="24"/>
        <v>0.12995553492107925</v>
      </c>
      <c r="N86">
        <f t="shared" si="24"/>
        <v>0.1256373127479844</v>
      </c>
      <c r="O86">
        <f t="shared" si="24"/>
        <v>9.1056777745049916E-2</v>
      </c>
      <c r="P86">
        <f t="shared" si="24"/>
        <v>8.6562674243071847E-2</v>
      </c>
      <c r="Q86">
        <f t="shared" si="24"/>
        <v>0.10657568333325289</v>
      </c>
      <c r="R86">
        <f t="shared" si="24"/>
        <v>0.11998463606168965</v>
      </c>
      <c r="S86">
        <f t="shared" si="24"/>
        <v>0.13229662441221207</v>
      </c>
      <c r="T86">
        <f t="shared" si="24"/>
        <v>0.13931004291003235</v>
      </c>
      <c r="U86">
        <f t="shared" si="24"/>
        <v>0.1224757291419284</v>
      </c>
      <c r="V86">
        <f t="shared" si="24"/>
        <v>0.12825541913335461</v>
      </c>
      <c r="W86">
        <f t="shared" si="24"/>
        <v>0.1460389061294578</v>
      </c>
      <c r="X86">
        <f t="shared" si="24"/>
        <v>0.15304600911784849</v>
      </c>
      <c r="Y86">
        <f t="shared" si="24"/>
        <v>0.1517768273747768</v>
      </c>
      <c r="Z86">
        <f t="shared" si="24"/>
        <v>0.12734869568174587</v>
      </c>
      <c r="AA86">
        <f t="shared" si="24"/>
        <v>0.14408430191457045</v>
      </c>
      <c r="AB86">
        <f t="shared" si="24"/>
        <v>0.16237284326427961</v>
      </c>
      <c r="AC86">
        <f t="shared" si="24"/>
        <v>0.15921852315504589</v>
      </c>
      <c r="AD86">
        <f t="shared" si="24"/>
        <v>0.16506900208524747</v>
      </c>
      <c r="AE86">
        <f t="shared" si="24"/>
        <v>0.16784829373696047</v>
      </c>
      <c r="AF86">
        <f t="shared" si="24"/>
        <v>0.18007933400261891</v>
      </c>
      <c r="AG86">
        <f t="shared" si="24"/>
        <v>0.18480670368414906</v>
      </c>
      <c r="AH86">
        <f t="shared" si="24"/>
        <v>0.19323209201109501</v>
      </c>
      <c r="AI86">
        <f t="shared" si="24"/>
        <v>0.19870959723713494</v>
      </c>
      <c r="AJ86">
        <f t="shared" si="24"/>
        <v>0.20414033230924769</v>
      </c>
      <c r="AK86">
        <f t="shared" si="24"/>
        <v>0.20793281411831871</v>
      </c>
      <c r="AL86">
        <f t="shared" si="24"/>
        <v>0.20846124994903198</v>
      </c>
      <c r="AM86">
        <f t="shared" si="24"/>
        <v>0.20869811347786549</v>
      </c>
      <c r="AN86">
        <f t="shared" si="24"/>
        <v>0.20691544633991155</v>
      </c>
      <c r="AO86">
        <f t="shared" si="24"/>
        <v>0.21099927439626329</v>
      </c>
      <c r="AP86">
        <f t="shared" si="24"/>
        <v>0.19735073101762438</v>
      </c>
      <c r="AQ86">
        <f t="shared" si="24"/>
        <v>0.20099172552102687</v>
      </c>
      <c r="AR86">
        <f t="shared" si="24"/>
        <v>0.19232929556966483</v>
      </c>
      <c r="AS86">
        <f t="shared" si="24"/>
        <v>0.18837841621554244</v>
      </c>
      <c r="AT86">
        <f t="shared" si="24"/>
        <v>0.19740306880735395</v>
      </c>
      <c r="AU86">
        <f t="shared" si="24"/>
        <v>0.20429301462027152</v>
      </c>
      <c r="AV86">
        <f t="shared" si="24"/>
        <v>0.21240195062156189</v>
      </c>
      <c r="AW86">
        <f t="shared" si="24"/>
        <v>0.21237628926386443</v>
      </c>
      <c r="AX86">
        <f t="shared" si="24"/>
        <v>0.21785186261454204</v>
      </c>
      <c r="AY86">
        <f t="shared" si="24"/>
        <v>0.22425656876352953</v>
      </c>
      <c r="AZ86">
        <f t="shared" si="24"/>
        <v>0.2251684074143134</v>
      </c>
      <c r="BA86">
        <f t="shared" si="24"/>
        <v>0.22719917542193638</v>
      </c>
      <c r="BB86">
        <f t="shared" si="24"/>
        <v>0.23221358557293503</v>
      </c>
      <c r="BC86">
        <f t="shared" si="24"/>
        <v>0.21600759691733945</v>
      </c>
      <c r="BD86">
        <f t="shared" si="24"/>
        <v>0.22321711336523062</v>
      </c>
      <c r="BE86">
        <f t="shared" si="24"/>
        <v>0.22482505595598304</v>
      </c>
      <c r="BF86">
        <f t="shared" si="24"/>
        <v>0.21993143808081161</v>
      </c>
      <c r="BG86">
        <f t="shared" si="24"/>
        <v>0.22947098780404179</v>
      </c>
      <c r="BH86">
        <f t="shared" si="24"/>
        <v>0.1976825657204902</v>
      </c>
      <c r="BI86">
        <f t="shared" si="24"/>
        <v>0.22114877620597717</v>
      </c>
      <c r="BJ86">
        <f t="shared" si="24"/>
        <v>0.23397050311023238</v>
      </c>
      <c r="BK86">
        <f t="shared" si="24"/>
        <v>0.25317875002995027</v>
      </c>
      <c r="BL86">
        <f t="shared" si="24"/>
        <v>0.26445887692599734</v>
      </c>
      <c r="BM86">
        <f t="shared" si="24"/>
        <v>0.27297497405434246</v>
      </c>
      <c r="BN86">
        <f t="shared" si="24"/>
        <v>0.27185346018793272</v>
      </c>
      <c r="BO86">
        <f t="shared" si="24"/>
        <v>0.28359804950429246</v>
      </c>
      <c r="BP86">
        <f t="shared" si="24"/>
        <v>0.27444235134455763</v>
      </c>
      <c r="BQ86">
        <f t="shared" ref="BQ86:CA86" si="25">BQ77/BQ75</f>
        <v>0.25632722133848668</v>
      </c>
      <c r="BR86">
        <f t="shared" si="25"/>
        <v>0.24828907985742169</v>
      </c>
      <c r="BS86">
        <f t="shared" si="25"/>
        <v>0.25421182045335466</v>
      </c>
      <c r="BT86">
        <f t="shared" si="25"/>
        <v>0.25982119670270781</v>
      </c>
      <c r="BU86">
        <f t="shared" si="25"/>
        <v>0.26607003456861122</v>
      </c>
      <c r="BV86">
        <f t="shared" si="25"/>
        <v>0.2629158185639735</v>
      </c>
      <c r="BW86">
        <f t="shared" si="25"/>
        <v>0.27162687876705205</v>
      </c>
      <c r="BX86">
        <f t="shared" si="25"/>
        <v>0.28226515994299628</v>
      </c>
      <c r="BY86">
        <f t="shared" si="25"/>
        <v>0.28464733626719596</v>
      </c>
      <c r="BZ86">
        <f t="shared" si="25"/>
        <v>0.28745216476051572</v>
      </c>
      <c r="CA86">
        <f t="shared" si="25"/>
        <v>0.29691019660989032</v>
      </c>
    </row>
    <row r="87" spans="3:80" x14ac:dyDescent="0.2">
      <c r="C87" t="str">
        <f>C81</f>
        <v>Date</v>
      </c>
      <c r="D87" s="1">
        <f t="shared" ref="D87:BO87" si="26">D81</f>
        <v>38777</v>
      </c>
      <c r="E87" s="1">
        <f t="shared" si="26"/>
        <v>38869</v>
      </c>
      <c r="F87" s="1">
        <f t="shared" si="26"/>
        <v>38961</v>
      </c>
      <c r="G87" s="1">
        <f t="shared" si="26"/>
        <v>39052</v>
      </c>
      <c r="H87" s="1">
        <f t="shared" si="26"/>
        <v>39142</v>
      </c>
      <c r="I87" s="1">
        <f t="shared" si="26"/>
        <v>39234</v>
      </c>
      <c r="J87" s="1">
        <f t="shared" si="26"/>
        <v>39326</v>
      </c>
      <c r="K87" s="1">
        <f t="shared" si="26"/>
        <v>39417</v>
      </c>
      <c r="L87" s="1">
        <f t="shared" si="26"/>
        <v>39508</v>
      </c>
      <c r="M87" s="1">
        <f t="shared" si="26"/>
        <v>39600</v>
      </c>
      <c r="N87" s="1">
        <f t="shared" si="26"/>
        <v>39692</v>
      </c>
      <c r="O87" s="1">
        <f t="shared" si="26"/>
        <v>39783</v>
      </c>
      <c r="P87" s="1">
        <f t="shared" si="26"/>
        <v>39873</v>
      </c>
      <c r="Q87" s="1">
        <f t="shared" si="26"/>
        <v>39965</v>
      </c>
      <c r="R87" s="1">
        <f t="shared" si="26"/>
        <v>40057</v>
      </c>
      <c r="S87" s="1">
        <f t="shared" si="26"/>
        <v>40148</v>
      </c>
      <c r="T87" s="1">
        <f t="shared" si="26"/>
        <v>40238</v>
      </c>
      <c r="U87" s="1">
        <f t="shared" si="26"/>
        <v>40330</v>
      </c>
      <c r="V87" s="1">
        <f t="shared" si="26"/>
        <v>40422</v>
      </c>
      <c r="W87" s="1">
        <f t="shared" si="26"/>
        <v>40513</v>
      </c>
      <c r="X87" s="1">
        <f t="shared" si="26"/>
        <v>40603</v>
      </c>
      <c r="Y87" s="1">
        <f t="shared" si="26"/>
        <v>40695</v>
      </c>
      <c r="Z87" s="1">
        <f t="shared" si="26"/>
        <v>40787</v>
      </c>
      <c r="AA87" s="1">
        <f t="shared" si="26"/>
        <v>40878</v>
      </c>
      <c r="AB87" s="1">
        <f t="shared" si="26"/>
        <v>40969</v>
      </c>
      <c r="AC87" s="1">
        <f t="shared" si="26"/>
        <v>41061</v>
      </c>
      <c r="AD87" s="1">
        <f t="shared" si="26"/>
        <v>41153</v>
      </c>
      <c r="AE87" s="1">
        <f t="shared" si="26"/>
        <v>41244</v>
      </c>
      <c r="AF87" s="1">
        <f t="shared" si="26"/>
        <v>41334</v>
      </c>
      <c r="AG87" s="1">
        <f t="shared" si="26"/>
        <v>41426</v>
      </c>
      <c r="AH87" s="1">
        <f t="shared" si="26"/>
        <v>41518</v>
      </c>
      <c r="AI87" s="1">
        <f t="shared" si="26"/>
        <v>41609</v>
      </c>
      <c r="AJ87" s="1">
        <f t="shared" si="26"/>
        <v>41699</v>
      </c>
      <c r="AK87" s="1">
        <f t="shared" si="26"/>
        <v>41791</v>
      </c>
      <c r="AL87" s="1">
        <f t="shared" si="26"/>
        <v>41883</v>
      </c>
      <c r="AM87" s="1">
        <f t="shared" si="26"/>
        <v>41974</v>
      </c>
      <c r="AN87" s="1">
        <f t="shared" si="26"/>
        <v>42064</v>
      </c>
      <c r="AO87" s="1">
        <f t="shared" si="26"/>
        <v>42156</v>
      </c>
      <c r="AP87" s="1">
        <f t="shared" si="26"/>
        <v>42248</v>
      </c>
      <c r="AQ87" s="1">
        <f t="shared" si="26"/>
        <v>42339</v>
      </c>
      <c r="AR87" s="1">
        <f t="shared" si="26"/>
        <v>42430</v>
      </c>
      <c r="AS87" s="1">
        <f t="shared" si="26"/>
        <v>42522</v>
      </c>
      <c r="AT87" s="1">
        <f t="shared" si="26"/>
        <v>42614</v>
      </c>
      <c r="AU87" s="1">
        <f t="shared" si="26"/>
        <v>42705</v>
      </c>
      <c r="AV87" s="1">
        <f t="shared" si="26"/>
        <v>42795</v>
      </c>
      <c r="AW87" s="1">
        <f t="shared" si="26"/>
        <v>42887</v>
      </c>
      <c r="AX87" s="1">
        <f t="shared" si="26"/>
        <v>42979</v>
      </c>
      <c r="AY87" s="1">
        <f t="shared" si="26"/>
        <v>43070</v>
      </c>
      <c r="AZ87" s="1">
        <f t="shared" si="26"/>
        <v>43160</v>
      </c>
      <c r="BA87" s="1">
        <f t="shared" si="26"/>
        <v>43252</v>
      </c>
      <c r="BB87" s="1">
        <f t="shared" si="26"/>
        <v>43344</v>
      </c>
      <c r="BC87" s="1">
        <f t="shared" si="26"/>
        <v>43435</v>
      </c>
      <c r="BD87" s="1">
        <f t="shared" si="26"/>
        <v>43525</v>
      </c>
      <c r="BE87" s="1">
        <f t="shared" si="26"/>
        <v>43617</v>
      </c>
      <c r="BF87" s="1">
        <f t="shared" si="26"/>
        <v>43709</v>
      </c>
      <c r="BG87" s="1">
        <f t="shared" si="26"/>
        <v>43800</v>
      </c>
      <c r="BH87" s="1">
        <f t="shared" si="26"/>
        <v>43891</v>
      </c>
      <c r="BI87" s="1">
        <f t="shared" si="26"/>
        <v>43983</v>
      </c>
      <c r="BJ87" s="1">
        <f t="shared" si="26"/>
        <v>44075</v>
      </c>
      <c r="BK87" s="1">
        <f t="shared" si="26"/>
        <v>44166</v>
      </c>
      <c r="BL87" s="1">
        <f t="shared" si="26"/>
        <v>44256</v>
      </c>
      <c r="BM87" s="1">
        <f t="shared" si="26"/>
        <v>44348</v>
      </c>
      <c r="BN87" s="1">
        <f t="shared" si="26"/>
        <v>44440</v>
      </c>
      <c r="BO87" s="1">
        <f t="shared" si="26"/>
        <v>44531</v>
      </c>
      <c r="BP87" s="1">
        <f t="shared" ref="BP87:CA87" si="27">BP81</f>
        <v>44621</v>
      </c>
      <c r="BQ87" s="1">
        <f t="shared" si="27"/>
        <v>44713</v>
      </c>
      <c r="BR87" s="1">
        <f t="shared" si="27"/>
        <v>44805</v>
      </c>
      <c r="BS87" s="1">
        <f t="shared" si="27"/>
        <v>44896</v>
      </c>
      <c r="BT87" s="1">
        <f t="shared" si="27"/>
        <v>44986</v>
      </c>
      <c r="BU87" s="1">
        <f t="shared" si="27"/>
        <v>45078</v>
      </c>
      <c r="BV87" s="1">
        <f t="shared" si="27"/>
        <v>45170</v>
      </c>
      <c r="BW87" s="1">
        <f t="shared" si="27"/>
        <v>45261</v>
      </c>
      <c r="BX87" s="1">
        <f t="shared" si="27"/>
        <v>45352</v>
      </c>
      <c r="BY87" s="1">
        <f t="shared" si="27"/>
        <v>45444</v>
      </c>
      <c r="BZ87" s="1">
        <f t="shared" si="27"/>
        <v>45536</v>
      </c>
      <c r="CA87" s="1">
        <f t="shared" si="27"/>
        <v>45627</v>
      </c>
    </row>
    <row r="88" spans="3:80" x14ac:dyDescent="0.2">
      <c r="C88" t="s">
        <v>73</v>
      </c>
      <c r="D88" s="5">
        <f>D78/D75</f>
        <v>0.36840532454736913</v>
      </c>
      <c r="E88" s="5">
        <f t="shared" ref="E88:BP88" si="28">E78/E75</f>
        <v>0.37563652911907269</v>
      </c>
      <c r="F88" s="5">
        <f t="shared" si="28"/>
        <v>0.38159408198685479</v>
      </c>
      <c r="G88" s="5">
        <f t="shared" si="28"/>
        <v>0.37921700950542614</v>
      </c>
      <c r="H88" s="5">
        <f t="shared" si="28"/>
        <v>0.38695694847991113</v>
      </c>
      <c r="I88" s="5">
        <f t="shared" si="28"/>
        <v>0.37471413061282788</v>
      </c>
      <c r="J88" s="5">
        <f t="shared" si="28"/>
        <v>0.37274763666186866</v>
      </c>
      <c r="K88" s="5">
        <f t="shared" si="28"/>
        <v>0.36990768193371215</v>
      </c>
      <c r="L88" s="5">
        <f t="shared" si="28"/>
        <v>0.35522377923385096</v>
      </c>
      <c r="M88" s="5">
        <f t="shared" si="28"/>
        <v>0.37122152306594236</v>
      </c>
      <c r="N88" s="5">
        <f t="shared" si="28"/>
        <v>0.38067740052935228</v>
      </c>
      <c r="O88" s="5">
        <f t="shared" si="28"/>
        <v>0.36014661434498679</v>
      </c>
      <c r="P88" s="5">
        <f t="shared" si="28"/>
        <v>0.37967050963177185</v>
      </c>
      <c r="Q88" s="5">
        <f t="shared" si="28"/>
        <v>0.4021249634799407</v>
      </c>
      <c r="R88" s="5">
        <f t="shared" si="28"/>
        <v>0.3883110425293631</v>
      </c>
      <c r="S88" s="5">
        <f t="shared" si="28"/>
        <v>0.3922303736473311</v>
      </c>
      <c r="T88" s="5">
        <f t="shared" si="28"/>
        <v>0.39057635395038032</v>
      </c>
      <c r="U88" s="5">
        <f t="shared" si="28"/>
        <v>0.3915299939668565</v>
      </c>
      <c r="V88" s="5">
        <f t="shared" si="28"/>
        <v>0.38488663627750797</v>
      </c>
      <c r="W88" s="5">
        <f t="shared" si="28"/>
        <v>0.3910620261380543</v>
      </c>
      <c r="X88" s="5">
        <f t="shared" si="28"/>
        <v>0.38772083802102797</v>
      </c>
      <c r="Y88" s="5">
        <f t="shared" si="28"/>
        <v>0.38874831871930199</v>
      </c>
      <c r="Z88" s="5">
        <f t="shared" si="28"/>
        <v>0.38080508789225376</v>
      </c>
      <c r="AA88" s="5">
        <f t="shared" si="28"/>
        <v>0.37639168507895476</v>
      </c>
      <c r="AB88" s="5">
        <f t="shared" si="28"/>
        <v>0.37968525557512156</v>
      </c>
      <c r="AC88" s="5">
        <f t="shared" si="28"/>
        <v>0.38414639135133405</v>
      </c>
      <c r="AD88" s="5">
        <f t="shared" si="28"/>
        <v>0.386638416698382</v>
      </c>
      <c r="AE88" s="5">
        <f t="shared" si="28"/>
        <v>0.39438797549823718</v>
      </c>
      <c r="AF88" s="5">
        <f t="shared" si="28"/>
        <v>0.39129740988494022</v>
      </c>
      <c r="AG88" s="5">
        <f t="shared" si="28"/>
        <v>0.38907430472821797</v>
      </c>
      <c r="AH88" s="5">
        <f t="shared" si="28"/>
        <v>0.38744126041675414</v>
      </c>
      <c r="AI88" s="5">
        <f t="shared" si="28"/>
        <v>0.37435070641251655</v>
      </c>
      <c r="AJ88" s="5">
        <f t="shared" si="28"/>
        <v>0.38026640620500957</v>
      </c>
      <c r="AK88" s="5">
        <f t="shared" si="28"/>
        <v>0.37549206708767774</v>
      </c>
      <c r="AL88" s="5">
        <f t="shared" si="28"/>
        <v>0.37532920314597068</v>
      </c>
      <c r="AM88" s="5">
        <f t="shared" si="28"/>
        <v>0.3695584910839107</v>
      </c>
      <c r="AN88" s="5">
        <f t="shared" si="28"/>
        <v>0.36812995169126694</v>
      </c>
      <c r="AO88" s="5">
        <f t="shared" si="28"/>
        <v>0.38358736434375251</v>
      </c>
      <c r="AP88" s="5">
        <f t="shared" si="28"/>
        <v>0.38953430498389341</v>
      </c>
      <c r="AQ88" s="5">
        <f t="shared" si="28"/>
        <v>0.39024706449524166</v>
      </c>
      <c r="AR88" s="5">
        <f t="shared" si="28"/>
        <v>0.38720478490536148</v>
      </c>
      <c r="AS88" s="5">
        <f t="shared" si="28"/>
        <v>0.38461006217539923</v>
      </c>
      <c r="AT88" s="5">
        <f t="shared" si="28"/>
        <v>0.38781049655842764</v>
      </c>
      <c r="AU88" s="5">
        <f t="shared" si="28"/>
        <v>0.38795442532649338</v>
      </c>
      <c r="AV88" s="5">
        <f t="shared" si="28"/>
        <v>0.38154660458800888</v>
      </c>
      <c r="AW88" s="5">
        <f t="shared" si="28"/>
        <v>0.3825459473392977</v>
      </c>
      <c r="AX88" s="5">
        <f t="shared" si="28"/>
        <v>0.38114893957346585</v>
      </c>
      <c r="AY88" s="5">
        <f t="shared" si="28"/>
        <v>0.37207259376986129</v>
      </c>
      <c r="AZ88" s="5">
        <f t="shared" si="28"/>
        <v>0.3706431900257568</v>
      </c>
      <c r="BA88" s="5">
        <f t="shared" si="28"/>
        <v>0.36264928397726576</v>
      </c>
      <c r="BB88" s="5">
        <f t="shared" si="28"/>
        <v>0.35503870701067114</v>
      </c>
      <c r="BC88" s="5">
        <f t="shared" si="28"/>
        <v>0.37111628258520046</v>
      </c>
      <c r="BD88" s="5">
        <f t="shared" si="28"/>
        <v>0.36014641951812265</v>
      </c>
      <c r="BE88" s="5">
        <f t="shared" si="28"/>
        <v>0.35524591910378517</v>
      </c>
      <c r="BF88" s="5">
        <f t="shared" si="28"/>
        <v>0.3593118544785322</v>
      </c>
      <c r="BG88" s="5">
        <f t="shared" si="28"/>
        <v>0.34882684764651956</v>
      </c>
      <c r="BH88" s="5">
        <f t="shared" si="28"/>
        <v>0.35911942136683012</v>
      </c>
      <c r="BI88" s="5">
        <f t="shared" si="28"/>
        <v>0.34719518419862744</v>
      </c>
      <c r="BJ88" s="5">
        <f t="shared" si="28"/>
        <v>0.33822045110101473</v>
      </c>
      <c r="BK88" s="5">
        <f t="shared" si="28"/>
        <v>0.31982577074868818</v>
      </c>
      <c r="BL88" s="5">
        <f t="shared" si="28"/>
        <v>0.31005625301452716</v>
      </c>
      <c r="BM88" s="5">
        <f t="shared" si="28"/>
        <v>0.30196021182080396</v>
      </c>
      <c r="BN88" s="5">
        <f t="shared" si="28"/>
        <v>0.30057335432964455</v>
      </c>
      <c r="BO88" s="5">
        <f t="shared" si="28"/>
        <v>0.28680486552062467</v>
      </c>
      <c r="BP88" s="5">
        <f t="shared" si="28"/>
        <v>0.28799088674243334</v>
      </c>
      <c r="BQ88" s="5">
        <f t="shared" ref="BQ88:CA88" si="29">BQ78/BQ75</f>
        <v>0.30462596445952655</v>
      </c>
      <c r="BR88" s="5">
        <f t="shared" si="29"/>
        <v>0.3048822072507642</v>
      </c>
      <c r="BS88" s="5">
        <f t="shared" si="29"/>
        <v>0.30094896897325213</v>
      </c>
      <c r="BT88" s="5">
        <f t="shared" si="29"/>
        <v>0.29880905872456798</v>
      </c>
      <c r="BU88" s="5">
        <f t="shared" si="29"/>
        <v>0.29039259904947368</v>
      </c>
      <c r="BV88" s="5">
        <f t="shared" si="29"/>
        <v>0.29381693839509987</v>
      </c>
      <c r="BW88" s="5">
        <f t="shared" si="29"/>
        <v>0.28957793349692673</v>
      </c>
      <c r="BX88" s="5">
        <f t="shared" si="29"/>
        <v>0.27926484455893869</v>
      </c>
      <c r="BY88" s="5">
        <f t="shared" si="29"/>
        <v>0.27530507701602652</v>
      </c>
      <c r="BZ88" s="5">
        <f t="shared" si="29"/>
        <v>0.27374506254001385</v>
      </c>
      <c r="CA88" s="5">
        <f t="shared" si="29"/>
        <v>0.26720140742128434</v>
      </c>
    </row>
    <row r="89" spans="3:80" x14ac:dyDescent="0.2">
      <c r="C89" t="s">
        <v>66</v>
      </c>
      <c r="D89">
        <f>D79/D75</f>
        <v>0.3192728134302692</v>
      </c>
      <c r="E89">
        <f t="shared" ref="E89:BP89" si="30">E79/E75</f>
        <v>0.32515781214873596</v>
      </c>
      <c r="F89">
        <f t="shared" si="30"/>
        <v>0.33228401806160096</v>
      </c>
      <c r="G89">
        <f t="shared" si="30"/>
        <v>0.33217257936525579</v>
      </c>
      <c r="H89">
        <f t="shared" si="30"/>
        <v>0.33874971183818575</v>
      </c>
      <c r="I89">
        <f t="shared" si="30"/>
        <v>0.3282429306071819</v>
      </c>
      <c r="J89">
        <f t="shared" si="30"/>
        <v>0.32566864718648925</v>
      </c>
      <c r="K89">
        <f t="shared" si="30"/>
        <v>0.32274946738527427</v>
      </c>
      <c r="L89">
        <f t="shared" si="30"/>
        <v>0.30997594006337764</v>
      </c>
      <c r="M89">
        <f t="shared" si="30"/>
        <v>0.32204637400140018</v>
      </c>
      <c r="N89">
        <f t="shared" si="30"/>
        <v>0.32873172003425005</v>
      </c>
      <c r="O89">
        <f t="shared" si="30"/>
        <v>0.31357139190966815</v>
      </c>
      <c r="P89">
        <f t="shared" si="30"/>
        <v>0.33009380114245057</v>
      </c>
      <c r="Q89">
        <f t="shared" si="30"/>
        <v>0.34927581207503877</v>
      </c>
      <c r="R89">
        <f t="shared" si="30"/>
        <v>0.3375903613382249</v>
      </c>
      <c r="S89">
        <f t="shared" si="30"/>
        <v>0.34213856525899849</v>
      </c>
      <c r="T89">
        <f t="shared" si="30"/>
        <v>0.34068705335349375</v>
      </c>
      <c r="U89">
        <f t="shared" si="30"/>
        <v>0.34250381592084034</v>
      </c>
      <c r="V89">
        <f t="shared" si="30"/>
        <v>0.33819432007541744</v>
      </c>
      <c r="W89">
        <f t="shared" si="30"/>
        <v>0.34281810600075724</v>
      </c>
      <c r="X89">
        <f t="shared" si="30"/>
        <v>0.33976253478253293</v>
      </c>
      <c r="Y89">
        <f t="shared" si="30"/>
        <v>0.34092524532629725</v>
      </c>
      <c r="Z89">
        <f t="shared" si="30"/>
        <v>0.33463814903118955</v>
      </c>
      <c r="AA89">
        <f t="shared" si="30"/>
        <v>0.33023015303857323</v>
      </c>
      <c r="AB89">
        <f t="shared" si="30"/>
        <v>0.33435820036793656</v>
      </c>
      <c r="AC89">
        <f t="shared" si="30"/>
        <v>0.33756354157097318</v>
      </c>
      <c r="AD89">
        <f t="shared" si="30"/>
        <v>0.34069278690367205</v>
      </c>
      <c r="AE89">
        <f t="shared" si="30"/>
        <v>0.34835463021766405</v>
      </c>
      <c r="AF89">
        <f t="shared" si="30"/>
        <v>0.34461238125999871</v>
      </c>
      <c r="AG89">
        <f t="shared" si="30"/>
        <v>0.3405859069336577</v>
      </c>
      <c r="AH89">
        <f t="shared" si="30"/>
        <v>0.33909308138627831</v>
      </c>
      <c r="AI89">
        <f t="shared" si="30"/>
        <v>0.32787290229756827</v>
      </c>
      <c r="AJ89">
        <f t="shared" si="30"/>
        <v>0.33348961077740175</v>
      </c>
      <c r="AK89">
        <f t="shared" si="30"/>
        <v>0.3296180718774101</v>
      </c>
      <c r="AL89">
        <f t="shared" si="30"/>
        <v>0.32812885852935358</v>
      </c>
      <c r="AM89">
        <f t="shared" si="30"/>
        <v>0.32296031230567612</v>
      </c>
      <c r="AN89">
        <f t="shared" si="30"/>
        <v>0.32002642849652485</v>
      </c>
      <c r="AO89">
        <f t="shared" si="30"/>
        <v>0.33280017205128515</v>
      </c>
      <c r="AP89">
        <f t="shared" si="30"/>
        <v>0.33737437906392104</v>
      </c>
      <c r="AQ89">
        <f t="shared" si="30"/>
        <v>0.33784451274571842</v>
      </c>
      <c r="AR89">
        <f t="shared" si="30"/>
        <v>0.33651869972378867</v>
      </c>
      <c r="AS89">
        <f t="shared" si="30"/>
        <v>0.33392499562755229</v>
      </c>
      <c r="AT89">
        <f t="shared" si="30"/>
        <v>0.33530939106449392</v>
      </c>
      <c r="AU89">
        <f t="shared" si="30"/>
        <v>0.33549412409664364</v>
      </c>
      <c r="AV89">
        <f t="shared" si="30"/>
        <v>0.33028913264570287</v>
      </c>
      <c r="AW89">
        <f t="shared" si="30"/>
        <v>0.33234944786168968</v>
      </c>
      <c r="AX89">
        <f t="shared" si="30"/>
        <v>0.33146417718718563</v>
      </c>
      <c r="AY89">
        <f t="shared" si="30"/>
        <v>0.32351968530240954</v>
      </c>
      <c r="AZ89">
        <f t="shared" si="30"/>
        <v>0.32192900214316833</v>
      </c>
      <c r="BA89">
        <f t="shared" si="30"/>
        <v>0.3157026155017853</v>
      </c>
      <c r="BB89">
        <f t="shared" si="30"/>
        <v>0.30842658393430766</v>
      </c>
      <c r="BC89">
        <f t="shared" si="30"/>
        <v>0.32389968443018735</v>
      </c>
      <c r="BD89">
        <f t="shared" si="30"/>
        <v>0.31588374614574249</v>
      </c>
      <c r="BE89">
        <f t="shared" si="30"/>
        <v>0.31147867928213407</v>
      </c>
      <c r="BF89">
        <f t="shared" si="30"/>
        <v>0.31622547130341921</v>
      </c>
      <c r="BG89">
        <f t="shared" si="30"/>
        <v>0.3077469283009136</v>
      </c>
      <c r="BH89">
        <f t="shared" si="30"/>
        <v>0.31699870885412007</v>
      </c>
      <c r="BI89">
        <f t="shared" si="30"/>
        <v>0.31005175917832767</v>
      </c>
      <c r="BJ89">
        <f t="shared" si="30"/>
        <v>0.3005688406028173</v>
      </c>
      <c r="BK89">
        <f t="shared" si="30"/>
        <v>0.28532501172338964</v>
      </c>
      <c r="BL89">
        <f t="shared" si="30"/>
        <v>0.27613734887554731</v>
      </c>
      <c r="BM89">
        <f t="shared" si="30"/>
        <v>0.26932485388639582</v>
      </c>
      <c r="BN89">
        <f t="shared" si="30"/>
        <v>0.26726478630801381</v>
      </c>
      <c r="BO89">
        <f t="shared" si="30"/>
        <v>0.25515338242214508</v>
      </c>
      <c r="BP89">
        <f t="shared" si="30"/>
        <v>0.25487368779479708</v>
      </c>
      <c r="BQ89">
        <f t="shared" ref="BQ89:CA89" si="31">BQ79/BQ75</f>
        <v>0.26866332569186735</v>
      </c>
      <c r="BR89">
        <f t="shared" si="31"/>
        <v>0.26708001376378837</v>
      </c>
      <c r="BS89">
        <f t="shared" si="31"/>
        <v>0.26388170398602689</v>
      </c>
      <c r="BT89">
        <f t="shared" si="31"/>
        <v>0.26296223246045664</v>
      </c>
      <c r="BU89">
        <f t="shared" si="31"/>
        <v>0.25542170580614482</v>
      </c>
      <c r="BV89">
        <f t="shared" si="31"/>
        <v>0.25840864359654647</v>
      </c>
      <c r="BW89">
        <f t="shared" si="31"/>
        <v>0.25584422820860436</v>
      </c>
      <c r="BX89">
        <f t="shared" si="31"/>
        <v>0.24683482317606067</v>
      </c>
      <c r="BY89">
        <f t="shared" si="31"/>
        <v>0.24246371665500632</v>
      </c>
      <c r="BZ89">
        <f t="shared" si="31"/>
        <v>0.24205019052557419</v>
      </c>
      <c r="CA89">
        <f t="shared" si="31"/>
        <v>0.23573884731530981</v>
      </c>
    </row>
    <row r="90" spans="3:80" x14ac:dyDescent="0.2">
      <c r="C90" t="s">
        <v>68</v>
      </c>
      <c r="D90" s="1">
        <f>D87</f>
        <v>38777</v>
      </c>
      <c r="E90" s="1">
        <f t="shared" ref="E90:BP90" si="32">E87</f>
        <v>38869</v>
      </c>
      <c r="F90" s="1">
        <f t="shared" si="32"/>
        <v>38961</v>
      </c>
      <c r="G90" s="1">
        <f t="shared" si="32"/>
        <v>39052</v>
      </c>
      <c r="H90" s="1">
        <f t="shared" si="32"/>
        <v>39142</v>
      </c>
      <c r="I90" s="1">
        <f t="shared" si="32"/>
        <v>39234</v>
      </c>
      <c r="J90" s="1">
        <f t="shared" si="32"/>
        <v>39326</v>
      </c>
      <c r="K90" s="1">
        <f t="shared" si="32"/>
        <v>39417</v>
      </c>
      <c r="L90" s="1">
        <f t="shared" si="32"/>
        <v>39508</v>
      </c>
      <c r="M90" s="1">
        <f t="shared" si="32"/>
        <v>39600</v>
      </c>
      <c r="N90" s="1">
        <f t="shared" si="32"/>
        <v>39692</v>
      </c>
      <c r="O90" s="1">
        <f t="shared" si="32"/>
        <v>39783</v>
      </c>
      <c r="P90" s="1">
        <f t="shared" si="32"/>
        <v>39873</v>
      </c>
      <c r="Q90" s="1">
        <f t="shared" si="32"/>
        <v>39965</v>
      </c>
      <c r="R90" s="1">
        <f t="shared" si="32"/>
        <v>40057</v>
      </c>
      <c r="S90" s="1">
        <f t="shared" si="32"/>
        <v>40148</v>
      </c>
      <c r="T90" s="1">
        <f t="shared" si="32"/>
        <v>40238</v>
      </c>
      <c r="U90" s="1">
        <f t="shared" si="32"/>
        <v>40330</v>
      </c>
      <c r="V90" s="1">
        <f t="shared" si="32"/>
        <v>40422</v>
      </c>
      <c r="W90" s="1">
        <f t="shared" si="32"/>
        <v>40513</v>
      </c>
      <c r="X90" s="1">
        <f t="shared" si="32"/>
        <v>40603</v>
      </c>
      <c r="Y90" s="1">
        <f t="shared" si="32"/>
        <v>40695</v>
      </c>
      <c r="Z90" s="1">
        <f t="shared" si="32"/>
        <v>40787</v>
      </c>
      <c r="AA90" s="1">
        <f t="shared" si="32"/>
        <v>40878</v>
      </c>
      <c r="AB90" s="1">
        <f t="shared" si="32"/>
        <v>40969</v>
      </c>
      <c r="AC90" s="1">
        <f t="shared" si="32"/>
        <v>41061</v>
      </c>
      <c r="AD90" s="1">
        <f t="shared" si="32"/>
        <v>41153</v>
      </c>
      <c r="AE90" s="1">
        <f t="shared" si="32"/>
        <v>41244</v>
      </c>
      <c r="AF90" s="1">
        <f t="shared" si="32"/>
        <v>41334</v>
      </c>
      <c r="AG90" s="1">
        <f t="shared" si="32"/>
        <v>41426</v>
      </c>
      <c r="AH90" s="1">
        <f t="shared" si="32"/>
        <v>41518</v>
      </c>
      <c r="AI90" s="1">
        <f t="shared" si="32"/>
        <v>41609</v>
      </c>
      <c r="AJ90" s="1">
        <f t="shared" si="32"/>
        <v>41699</v>
      </c>
      <c r="AK90" s="1">
        <f t="shared" si="32"/>
        <v>41791</v>
      </c>
      <c r="AL90" s="1">
        <f t="shared" si="32"/>
        <v>41883</v>
      </c>
      <c r="AM90" s="1">
        <f t="shared" si="32"/>
        <v>41974</v>
      </c>
      <c r="AN90" s="1">
        <f t="shared" si="32"/>
        <v>42064</v>
      </c>
      <c r="AO90" s="1">
        <f t="shared" si="32"/>
        <v>42156</v>
      </c>
      <c r="AP90" s="1">
        <f t="shared" si="32"/>
        <v>42248</v>
      </c>
      <c r="AQ90" s="1">
        <f t="shared" si="32"/>
        <v>42339</v>
      </c>
      <c r="AR90" s="1">
        <f t="shared" si="32"/>
        <v>42430</v>
      </c>
      <c r="AS90" s="1">
        <f t="shared" si="32"/>
        <v>42522</v>
      </c>
      <c r="AT90" s="1">
        <f t="shared" si="32"/>
        <v>42614</v>
      </c>
      <c r="AU90" s="1">
        <f t="shared" si="32"/>
        <v>42705</v>
      </c>
      <c r="AV90" s="1">
        <f t="shared" si="32"/>
        <v>42795</v>
      </c>
      <c r="AW90" s="1">
        <f t="shared" si="32"/>
        <v>42887</v>
      </c>
      <c r="AX90" s="1">
        <f t="shared" si="32"/>
        <v>42979</v>
      </c>
      <c r="AY90" s="1">
        <f t="shared" si="32"/>
        <v>43070</v>
      </c>
      <c r="AZ90" s="1">
        <f t="shared" si="32"/>
        <v>43160</v>
      </c>
      <c r="BA90" s="1">
        <f t="shared" si="32"/>
        <v>43252</v>
      </c>
      <c r="BB90" s="1">
        <f t="shared" si="32"/>
        <v>43344</v>
      </c>
      <c r="BC90" s="1">
        <f t="shared" si="32"/>
        <v>43435</v>
      </c>
      <c r="BD90" s="1">
        <f t="shared" si="32"/>
        <v>43525</v>
      </c>
      <c r="BE90" s="1">
        <f t="shared" si="32"/>
        <v>43617</v>
      </c>
      <c r="BF90" s="1">
        <f t="shared" si="32"/>
        <v>43709</v>
      </c>
      <c r="BG90" s="1">
        <f t="shared" si="32"/>
        <v>43800</v>
      </c>
      <c r="BH90" s="1">
        <f t="shared" si="32"/>
        <v>43891</v>
      </c>
      <c r="BI90" s="1">
        <f t="shared" si="32"/>
        <v>43983</v>
      </c>
      <c r="BJ90" s="1">
        <f t="shared" si="32"/>
        <v>44075</v>
      </c>
      <c r="BK90" s="1">
        <f t="shared" si="32"/>
        <v>44166</v>
      </c>
      <c r="BL90" s="1">
        <f t="shared" si="32"/>
        <v>44256</v>
      </c>
      <c r="BM90" s="1">
        <f t="shared" si="32"/>
        <v>44348</v>
      </c>
      <c r="BN90" s="1">
        <f t="shared" si="32"/>
        <v>44440</v>
      </c>
      <c r="BO90" s="1">
        <f t="shared" si="32"/>
        <v>44531</v>
      </c>
      <c r="BP90" s="1">
        <f t="shared" si="32"/>
        <v>44621</v>
      </c>
      <c r="BQ90" s="1">
        <f t="shared" ref="BQ90:CA90" si="33">BQ87</f>
        <v>44713</v>
      </c>
      <c r="BR90" s="1">
        <f t="shared" si="33"/>
        <v>44805</v>
      </c>
      <c r="BS90" s="1">
        <f t="shared" si="33"/>
        <v>44896</v>
      </c>
      <c r="BT90" s="1">
        <f t="shared" si="33"/>
        <v>44986</v>
      </c>
      <c r="BU90" s="1">
        <f t="shared" si="33"/>
        <v>45078</v>
      </c>
      <c r="BV90" s="1">
        <f t="shared" si="33"/>
        <v>45170</v>
      </c>
      <c r="BW90" s="1">
        <f t="shared" si="33"/>
        <v>45261</v>
      </c>
      <c r="BX90" s="1">
        <f t="shared" si="33"/>
        <v>45352</v>
      </c>
      <c r="BY90" s="1">
        <f t="shared" si="33"/>
        <v>45444</v>
      </c>
      <c r="BZ90" s="1">
        <f t="shared" si="33"/>
        <v>45536</v>
      </c>
      <c r="CA90" s="1">
        <f t="shared" si="33"/>
        <v>45627</v>
      </c>
    </row>
    <row r="91" spans="3:80" x14ac:dyDescent="0.2">
      <c r="C91" t="s">
        <v>72</v>
      </c>
      <c r="D91" s="5">
        <f>D76/D78</f>
        <v>0.85022433015364629</v>
      </c>
      <c r="E91" s="5">
        <f t="shared" ref="E91:BP91" si="34">E76/E78</f>
        <v>0.80775265454085066</v>
      </c>
      <c r="F91" s="5">
        <f t="shared" si="34"/>
        <v>0.80653130161410558</v>
      </c>
      <c r="G91" s="5">
        <f t="shared" si="34"/>
        <v>0.82322624759705187</v>
      </c>
      <c r="H91" s="5">
        <f t="shared" si="34"/>
        <v>0.78974986285219728</v>
      </c>
      <c r="I91" s="5">
        <f t="shared" si="34"/>
        <v>0.82829329970398713</v>
      </c>
      <c r="J91" s="5">
        <f t="shared" si="34"/>
        <v>0.83085279014607205</v>
      </c>
      <c r="K91" s="5">
        <f t="shared" si="34"/>
        <v>0.77829880267568485</v>
      </c>
      <c r="L91" s="5">
        <f t="shared" si="34"/>
        <v>0.69437455887887067</v>
      </c>
      <c r="M91" s="5">
        <f t="shared" si="34"/>
        <v>0.67880635031122916</v>
      </c>
      <c r="N91" s="5">
        <f t="shared" si="34"/>
        <v>0.64209995702246514</v>
      </c>
      <c r="O91" s="5">
        <f t="shared" si="34"/>
        <v>0.49002332416270383</v>
      </c>
      <c r="P91" s="5">
        <f t="shared" si="34"/>
        <v>0.43735191025373854</v>
      </c>
      <c r="Q91" s="5">
        <f t="shared" si="34"/>
        <v>0.50326567106710285</v>
      </c>
      <c r="R91" s="5">
        <f t="shared" si="34"/>
        <v>0.5804364106616855</v>
      </c>
      <c r="S91" s="5">
        <f t="shared" si="34"/>
        <v>0.62790808438383861</v>
      </c>
      <c r="T91" s="5">
        <f t="shared" si="34"/>
        <v>0.65739988786877468</v>
      </c>
      <c r="U91" s="5">
        <f t="shared" si="34"/>
        <v>0.57181020749607292</v>
      </c>
      <c r="V91" s="5">
        <f t="shared" si="34"/>
        <v>0.6103497821529531</v>
      </c>
      <c r="W91" s="5">
        <f t="shared" si="34"/>
        <v>0.68179390546672891</v>
      </c>
      <c r="X91" s="5">
        <f t="shared" si="34"/>
        <v>0.71668646007852299</v>
      </c>
      <c r="Y91" s="5">
        <f t="shared" si="34"/>
        <v>0.70741522516676059</v>
      </c>
      <c r="Z91" s="5">
        <f t="shared" si="34"/>
        <v>0.60134404329547897</v>
      </c>
      <c r="AA91" s="5">
        <f t="shared" si="34"/>
        <v>0.67856953898410799</v>
      </c>
      <c r="AB91" s="5">
        <f t="shared" si="34"/>
        <v>0.75342598786086779</v>
      </c>
      <c r="AC91" s="5">
        <f t="shared" si="34"/>
        <v>0.72992469099891277</v>
      </c>
      <c r="AD91" s="5">
        <f t="shared" si="34"/>
        <v>0.75186984399130596</v>
      </c>
      <c r="AE91" s="5">
        <f t="shared" si="34"/>
        <v>0.74542445549407566</v>
      </c>
      <c r="AF91" s="5">
        <f t="shared" si="34"/>
        <v>0.80566892647692512</v>
      </c>
      <c r="AG91" s="5">
        <f t="shared" si="34"/>
        <v>0.8351188136060389</v>
      </c>
      <c r="AH91" s="5">
        <f t="shared" si="34"/>
        <v>0.87182634126487213</v>
      </c>
      <c r="AI91" s="5">
        <f t="shared" si="34"/>
        <v>0.93297165102182489</v>
      </c>
      <c r="AJ91" s="5">
        <f t="shared" si="34"/>
        <v>0.92628591133961147</v>
      </c>
      <c r="AK91" s="5">
        <f t="shared" si="34"/>
        <v>0.9566213721865815</v>
      </c>
      <c r="AL91" s="5">
        <f t="shared" si="34"/>
        <v>0.95714057298056909</v>
      </c>
      <c r="AM91" s="5">
        <f t="shared" si="34"/>
        <v>0.9809426121495407</v>
      </c>
      <c r="AN91" s="5">
        <f t="shared" si="34"/>
        <v>0.98621757366076057</v>
      </c>
      <c r="AO91" s="5">
        <f t="shared" si="34"/>
        <v>0.97115795215447265</v>
      </c>
      <c r="AP91" s="5">
        <f t="shared" si="34"/>
        <v>0.90341787534189477</v>
      </c>
      <c r="AQ91" s="5">
        <f t="shared" si="34"/>
        <v>0.93893890115935363</v>
      </c>
      <c r="AR91" s="5">
        <f t="shared" si="34"/>
        <v>0.91821119815030894</v>
      </c>
      <c r="AS91" s="5">
        <f t="shared" si="34"/>
        <v>0.91808844776905785</v>
      </c>
      <c r="AT91" s="5">
        <f t="shared" si="34"/>
        <v>0.95230769447994845</v>
      </c>
      <c r="AU91" s="5">
        <f t="shared" si="34"/>
        <v>0.99332078107813249</v>
      </c>
      <c r="AV91" s="5">
        <f t="shared" si="34"/>
        <v>1.049293967378393</v>
      </c>
      <c r="AW91" s="5">
        <f t="shared" si="34"/>
        <v>1.0492962753800028</v>
      </c>
      <c r="AX91" s="5">
        <f t="shared" si="34"/>
        <v>1.0779560507770216</v>
      </c>
      <c r="AY91" s="5">
        <f t="shared" si="34"/>
        <v>1.142779415714585</v>
      </c>
      <c r="AZ91" s="5">
        <f t="shared" si="34"/>
        <v>1.1435606646210208</v>
      </c>
      <c r="BA91" s="5">
        <f t="shared" si="34"/>
        <v>1.1832708848358113</v>
      </c>
      <c r="BB91" s="5">
        <f t="shared" si="34"/>
        <v>1.2527300922164823</v>
      </c>
      <c r="BC91" s="5">
        <f t="shared" si="34"/>
        <v>1.1028218744583749</v>
      </c>
      <c r="BD91" s="5">
        <f t="shared" si="34"/>
        <v>1.1942477550587904</v>
      </c>
      <c r="BE91" s="5">
        <f t="shared" si="34"/>
        <v>1.2190280417905104</v>
      </c>
      <c r="BF91" s="5">
        <f t="shared" si="34"/>
        <v>1.1837560311791708</v>
      </c>
      <c r="BG91" s="5">
        <f t="shared" si="34"/>
        <v>1.2798856317145901</v>
      </c>
      <c r="BH91" s="5">
        <f t="shared" si="34"/>
        <v>1.0475247756162254</v>
      </c>
      <c r="BI91" s="5">
        <f t="shared" si="34"/>
        <v>1.2129280879489992</v>
      </c>
      <c r="BJ91" s="5">
        <f t="shared" si="34"/>
        <v>1.3110411574688223</v>
      </c>
      <c r="BK91" s="5">
        <f t="shared" si="34"/>
        <v>1.4780949307848896</v>
      </c>
      <c r="BL91" s="5">
        <f t="shared" si="34"/>
        <v>1.5872004848182435</v>
      </c>
      <c r="BM91" s="5">
        <f t="shared" si="34"/>
        <v>1.6824578045468583</v>
      </c>
      <c r="BN91" s="5">
        <f t="shared" si="34"/>
        <v>1.6841357098783387</v>
      </c>
      <c r="BO91" s="5">
        <f t="shared" si="34"/>
        <v>1.8423358576697768</v>
      </c>
      <c r="BP91" s="5">
        <f t="shared" si="34"/>
        <v>1.7803688362813017</v>
      </c>
      <c r="BQ91" s="5">
        <f t="shared" ref="BQ91:CA91" si="35">BQ76/BQ78</f>
        <v>1.5570521994522069</v>
      </c>
      <c r="BR91" s="5">
        <f t="shared" si="35"/>
        <v>1.5048695055827723</v>
      </c>
      <c r="BS91" s="5">
        <f t="shared" si="35"/>
        <v>1.5737711095607518</v>
      </c>
      <c r="BT91" s="5">
        <f t="shared" si="35"/>
        <v>1.6297037952890108</v>
      </c>
      <c r="BU91" s="5">
        <f t="shared" si="35"/>
        <v>1.727469949863756</v>
      </c>
      <c r="BV91" s="5">
        <f t="shared" si="35"/>
        <v>1.6749979278377252</v>
      </c>
      <c r="BW91" s="5">
        <f t="shared" si="35"/>
        <v>1.764146062605352</v>
      </c>
      <c r="BX91" s="5">
        <f t="shared" si="35"/>
        <v>1.9023141874577416</v>
      </c>
      <c r="BY91" s="5">
        <f t="shared" si="35"/>
        <v>1.9489425960909623</v>
      </c>
      <c r="BZ91" s="5">
        <f t="shared" si="35"/>
        <v>1.9709942258419075</v>
      </c>
      <c r="CA91" s="5">
        <f t="shared" si="35"/>
        <v>2.0681048643250377</v>
      </c>
    </row>
    <row r="95" spans="3:80" x14ac:dyDescent="0.2">
      <c r="C95" t="s">
        <v>74</v>
      </c>
      <c r="D95">
        <v>13599.16</v>
      </c>
      <c r="E95">
        <v>13753.424000000001</v>
      </c>
      <c r="F95">
        <v>13870.188</v>
      </c>
      <c r="G95">
        <v>14039.56</v>
      </c>
      <c r="H95">
        <v>14215.651</v>
      </c>
      <c r="I95">
        <v>14402.082</v>
      </c>
      <c r="J95">
        <v>14564.117</v>
      </c>
      <c r="K95">
        <v>14715.058000000001</v>
      </c>
      <c r="L95">
        <v>14706.538</v>
      </c>
      <c r="M95">
        <v>14865.700999999999</v>
      </c>
      <c r="N95">
        <v>14898.999</v>
      </c>
      <c r="O95">
        <v>14608.209000000001</v>
      </c>
      <c r="P95">
        <v>14430.902</v>
      </c>
      <c r="Q95">
        <v>14381.236000000001</v>
      </c>
      <c r="R95">
        <v>14448.882</v>
      </c>
      <c r="S95">
        <v>14651.249</v>
      </c>
      <c r="T95">
        <v>14764.61</v>
      </c>
      <c r="U95">
        <v>14980.192999999999</v>
      </c>
      <c r="V95">
        <v>15141.607</v>
      </c>
      <c r="W95">
        <v>15309.474</v>
      </c>
      <c r="X95">
        <v>15351.448</v>
      </c>
      <c r="Y95">
        <v>15557.539000000001</v>
      </c>
      <c r="Z95">
        <v>15647.68</v>
      </c>
      <c r="AA95">
        <v>15842.259</v>
      </c>
      <c r="AB95">
        <v>16068.805</v>
      </c>
      <c r="AC95">
        <v>16207.115</v>
      </c>
      <c r="AD95">
        <v>16319.540999999999</v>
      </c>
      <c r="AE95">
        <v>16420.419000000002</v>
      </c>
      <c r="AF95">
        <v>16648.188999999998</v>
      </c>
      <c r="AG95">
        <v>16728.687000000002</v>
      </c>
      <c r="AH95">
        <v>16953.838</v>
      </c>
      <c r="AI95">
        <v>17192.019</v>
      </c>
      <c r="AJ95">
        <v>17197.738000000001</v>
      </c>
      <c r="AK95">
        <v>17518.508000000002</v>
      </c>
      <c r="AL95">
        <v>17804.227999999999</v>
      </c>
      <c r="AM95">
        <v>17912.079000000002</v>
      </c>
      <c r="AN95">
        <v>18063.528999999999</v>
      </c>
      <c r="AO95">
        <v>18279.784</v>
      </c>
      <c r="AP95">
        <v>18401.626</v>
      </c>
      <c r="AQ95">
        <v>18435.136999999999</v>
      </c>
      <c r="AR95">
        <v>18525.933000000001</v>
      </c>
      <c r="AS95">
        <v>18711.702000000001</v>
      </c>
      <c r="AT95">
        <v>18892.638999999999</v>
      </c>
      <c r="AU95">
        <v>19089.379000000001</v>
      </c>
      <c r="AV95">
        <v>19280.083999999999</v>
      </c>
      <c r="AW95">
        <v>19438.643</v>
      </c>
      <c r="AX95">
        <v>19692.595000000001</v>
      </c>
      <c r="AY95">
        <v>20037.088</v>
      </c>
      <c r="AZ95">
        <v>20328.553</v>
      </c>
      <c r="BA95">
        <v>20580.912</v>
      </c>
      <c r="BB95">
        <v>20798.73</v>
      </c>
      <c r="BC95">
        <v>20917.866999999998</v>
      </c>
      <c r="BD95">
        <v>21111.599999999999</v>
      </c>
      <c r="BE95">
        <v>21397.937999999998</v>
      </c>
      <c r="BF95">
        <v>21717.170999999998</v>
      </c>
      <c r="BG95">
        <v>21933.217000000001</v>
      </c>
      <c r="BH95">
        <v>21727.656999999999</v>
      </c>
      <c r="BI95">
        <v>19935.444</v>
      </c>
      <c r="BJ95">
        <v>21684.550999999999</v>
      </c>
      <c r="BK95">
        <v>22068.767</v>
      </c>
      <c r="BL95">
        <v>22656.793000000001</v>
      </c>
      <c r="BM95">
        <v>23368.861000000001</v>
      </c>
      <c r="BN95">
        <v>23921.991000000002</v>
      </c>
      <c r="BO95">
        <v>24777.038</v>
      </c>
      <c r="BP95">
        <v>25215.491000000002</v>
      </c>
      <c r="BQ95">
        <v>25805.791000000001</v>
      </c>
      <c r="BR95">
        <v>26272.010999999999</v>
      </c>
      <c r="BS95">
        <v>26734.276999999998</v>
      </c>
      <c r="BT95">
        <v>27164.359</v>
      </c>
      <c r="BU95">
        <v>27453.814999999999</v>
      </c>
      <c r="BV95">
        <v>27967.697</v>
      </c>
      <c r="BW95">
        <v>28296.967000000001</v>
      </c>
      <c r="BX95">
        <v>28624.069</v>
      </c>
      <c r="BY95">
        <v>29016.714</v>
      </c>
      <c r="BZ95">
        <v>29374.914000000001</v>
      </c>
      <c r="CA95">
        <v>29723.864000000001</v>
      </c>
      <c r="CB95">
        <v>29977.632000000001</v>
      </c>
    </row>
    <row r="96" spans="3:80" x14ac:dyDescent="0.2">
      <c r="C96" t="s">
        <v>68</v>
      </c>
      <c r="D96" s="1">
        <f t="shared" ref="D96:BO96" si="36">D90</f>
        <v>38777</v>
      </c>
      <c r="E96" s="1">
        <f t="shared" si="36"/>
        <v>38869</v>
      </c>
      <c r="F96" s="1">
        <f t="shared" si="36"/>
        <v>38961</v>
      </c>
      <c r="G96" s="1">
        <f t="shared" si="36"/>
        <v>39052</v>
      </c>
      <c r="H96" s="1">
        <f t="shared" si="36"/>
        <v>39142</v>
      </c>
      <c r="I96" s="1">
        <f t="shared" si="36"/>
        <v>39234</v>
      </c>
      <c r="J96" s="1">
        <f t="shared" si="36"/>
        <v>39326</v>
      </c>
      <c r="K96" s="1">
        <f t="shared" si="36"/>
        <v>39417</v>
      </c>
      <c r="L96" s="1">
        <f t="shared" si="36"/>
        <v>39508</v>
      </c>
      <c r="M96" s="1">
        <f t="shared" si="36"/>
        <v>39600</v>
      </c>
      <c r="N96" s="1">
        <f t="shared" si="36"/>
        <v>39692</v>
      </c>
      <c r="O96" s="1">
        <f t="shared" si="36"/>
        <v>39783</v>
      </c>
      <c r="P96" s="1">
        <f t="shared" si="36"/>
        <v>39873</v>
      </c>
      <c r="Q96" s="1">
        <f t="shared" si="36"/>
        <v>39965</v>
      </c>
      <c r="R96" s="1">
        <f t="shared" si="36"/>
        <v>40057</v>
      </c>
      <c r="S96" s="1">
        <f t="shared" si="36"/>
        <v>40148</v>
      </c>
      <c r="T96" s="1">
        <f t="shared" si="36"/>
        <v>40238</v>
      </c>
      <c r="U96" s="1">
        <f t="shared" si="36"/>
        <v>40330</v>
      </c>
      <c r="V96" s="1">
        <f t="shared" si="36"/>
        <v>40422</v>
      </c>
      <c r="W96" s="1">
        <f t="shared" si="36"/>
        <v>40513</v>
      </c>
      <c r="X96" s="1">
        <f t="shared" si="36"/>
        <v>40603</v>
      </c>
      <c r="Y96" s="1">
        <f t="shared" si="36"/>
        <v>40695</v>
      </c>
      <c r="Z96" s="1">
        <f t="shared" si="36"/>
        <v>40787</v>
      </c>
      <c r="AA96" s="1">
        <f t="shared" si="36"/>
        <v>40878</v>
      </c>
      <c r="AB96" s="1">
        <f t="shared" si="36"/>
        <v>40969</v>
      </c>
      <c r="AC96" s="1">
        <f t="shared" si="36"/>
        <v>41061</v>
      </c>
      <c r="AD96" s="1">
        <f t="shared" si="36"/>
        <v>41153</v>
      </c>
      <c r="AE96" s="1">
        <f t="shared" si="36"/>
        <v>41244</v>
      </c>
      <c r="AF96" s="1">
        <f t="shared" si="36"/>
        <v>41334</v>
      </c>
      <c r="AG96" s="1">
        <f t="shared" si="36"/>
        <v>41426</v>
      </c>
      <c r="AH96" s="1">
        <f t="shared" si="36"/>
        <v>41518</v>
      </c>
      <c r="AI96" s="1">
        <f t="shared" si="36"/>
        <v>41609</v>
      </c>
      <c r="AJ96" s="1">
        <f t="shared" si="36"/>
        <v>41699</v>
      </c>
      <c r="AK96" s="1">
        <f t="shared" si="36"/>
        <v>41791</v>
      </c>
      <c r="AL96" s="1">
        <f t="shared" si="36"/>
        <v>41883</v>
      </c>
      <c r="AM96" s="1">
        <f t="shared" si="36"/>
        <v>41974</v>
      </c>
      <c r="AN96" s="1">
        <f t="shared" si="36"/>
        <v>42064</v>
      </c>
      <c r="AO96" s="1">
        <f t="shared" si="36"/>
        <v>42156</v>
      </c>
      <c r="AP96" s="1">
        <f t="shared" si="36"/>
        <v>42248</v>
      </c>
      <c r="AQ96" s="1">
        <f t="shared" si="36"/>
        <v>42339</v>
      </c>
      <c r="AR96" s="1">
        <f t="shared" si="36"/>
        <v>42430</v>
      </c>
      <c r="AS96" s="1">
        <f t="shared" si="36"/>
        <v>42522</v>
      </c>
      <c r="AT96" s="1">
        <f t="shared" si="36"/>
        <v>42614</v>
      </c>
      <c r="AU96" s="1">
        <f t="shared" si="36"/>
        <v>42705</v>
      </c>
      <c r="AV96" s="1">
        <f t="shared" si="36"/>
        <v>42795</v>
      </c>
      <c r="AW96" s="1">
        <f t="shared" si="36"/>
        <v>42887</v>
      </c>
      <c r="AX96" s="1">
        <f t="shared" si="36"/>
        <v>42979</v>
      </c>
      <c r="AY96" s="1">
        <f t="shared" si="36"/>
        <v>43070</v>
      </c>
      <c r="AZ96" s="1">
        <f t="shared" si="36"/>
        <v>43160</v>
      </c>
      <c r="BA96" s="1">
        <f t="shared" si="36"/>
        <v>43252</v>
      </c>
      <c r="BB96" s="1">
        <f t="shared" si="36"/>
        <v>43344</v>
      </c>
      <c r="BC96" s="1">
        <f t="shared" si="36"/>
        <v>43435</v>
      </c>
      <c r="BD96" s="1">
        <f t="shared" si="36"/>
        <v>43525</v>
      </c>
      <c r="BE96" s="1">
        <f t="shared" si="36"/>
        <v>43617</v>
      </c>
      <c r="BF96" s="1">
        <f t="shared" si="36"/>
        <v>43709</v>
      </c>
      <c r="BG96" s="1">
        <f t="shared" si="36"/>
        <v>43800</v>
      </c>
      <c r="BH96" s="1">
        <f t="shared" si="36"/>
        <v>43891</v>
      </c>
      <c r="BI96" s="1">
        <f t="shared" si="36"/>
        <v>43983</v>
      </c>
      <c r="BJ96" s="1">
        <f t="shared" si="36"/>
        <v>44075</v>
      </c>
      <c r="BK96" s="1">
        <f t="shared" si="36"/>
        <v>44166</v>
      </c>
      <c r="BL96" s="1">
        <f t="shared" si="36"/>
        <v>44256</v>
      </c>
      <c r="BM96" s="1">
        <f t="shared" si="36"/>
        <v>44348</v>
      </c>
      <c r="BN96" s="1">
        <f t="shared" si="36"/>
        <v>44440</v>
      </c>
      <c r="BO96" s="1">
        <f t="shared" si="36"/>
        <v>44531</v>
      </c>
      <c r="BP96" s="1">
        <f t="shared" ref="BP96:CA96" si="37">BP90</f>
        <v>44621</v>
      </c>
      <c r="BQ96" s="1">
        <f t="shared" si="37"/>
        <v>44713</v>
      </c>
      <c r="BR96" s="1">
        <f t="shared" si="37"/>
        <v>44805</v>
      </c>
      <c r="BS96" s="1">
        <f t="shared" si="37"/>
        <v>44896</v>
      </c>
      <c r="BT96" s="1">
        <f t="shared" si="37"/>
        <v>44986</v>
      </c>
      <c r="BU96" s="1">
        <f t="shared" si="37"/>
        <v>45078</v>
      </c>
      <c r="BV96" s="1">
        <f t="shared" si="37"/>
        <v>45170</v>
      </c>
      <c r="BW96" s="1">
        <f t="shared" si="37"/>
        <v>45261</v>
      </c>
      <c r="BX96" s="1">
        <f t="shared" si="37"/>
        <v>45352</v>
      </c>
      <c r="BY96" s="1">
        <f t="shared" si="37"/>
        <v>45444</v>
      </c>
      <c r="BZ96" s="1">
        <f t="shared" si="37"/>
        <v>45536</v>
      </c>
      <c r="CA96" s="1">
        <f>CA90</f>
        <v>45627</v>
      </c>
    </row>
    <row r="97" spans="3:79" x14ac:dyDescent="0.2">
      <c r="C97" t="s">
        <v>75</v>
      </c>
      <c r="D97" s="5">
        <f>D74/(D95*1000)</f>
        <v>0.12174399006997491</v>
      </c>
      <c r="E97" s="5">
        <f>E74/(E95*1000)</f>
        <v>0.12206196798702636</v>
      </c>
      <c r="F97" s="5">
        <f>F74/(F95*1000)</f>
        <v>0.1446093592963556</v>
      </c>
      <c r="G97" s="5">
        <f>G74/(G95*1000)</f>
        <v>0.12876607244101668</v>
      </c>
      <c r="H97" s="5">
        <f>H74/(H95*1000)</f>
        <v>0.11636231080799606</v>
      </c>
      <c r="I97" s="5">
        <f>I74/(I95*1000)</f>
        <v>9.8692813997309559E-2</v>
      </c>
      <c r="J97" s="5">
        <f>J74/(J95*1000)</f>
        <v>8.4553220768550541E-2</v>
      </c>
      <c r="K97" s="5">
        <f>K74/(K95*1000)</f>
        <v>8.6906215388345739E-2</v>
      </c>
      <c r="L97" s="5">
        <f>L74/(L95*1000)</f>
        <v>0.12572843452347521</v>
      </c>
      <c r="M97" s="5">
        <f>M74/(M95*1000)</f>
        <v>0.12339936071632276</v>
      </c>
      <c r="N97" s="5">
        <f>N74/(N95*1000)</f>
        <v>0.22209666568874861</v>
      </c>
      <c r="O97" s="5">
        <f>O74/(O95*1000)</f>
        <v>0.2734507015884014</v>
      </c>
      <c r="P97" s="5">
        <f>P74/(P95*1000)</f>
        <v>0.26720644350574896</v>
      </c>
      <c r="Q97" s="5">
        <f>Q74/(Q95*1000)</f>
        <v>0.22246877806608556</v>
      </c>
      <c r="R97" s="5">
        <f>R74/(R95*1000)</f>
        <v>0.18475332555141635</v>
      </c>
      <c r="S97" s="5">
        <f>S74/(S95*1000)</f>
        <v>0.17929802435273606</v>
      </c>
      <c r="T97" s="5">
        <f>T74/(T95*1000)</f>
        <v>0.18754616613645739</v>
      </c>
      <c r="U97" s="5">
        <f>U74/(U95*1000)</f>
        <v>0.21232269837911968</v>
      </c>
      <c r="V97" s="5">
        <f>V74/(V95*1000)</f>
        <v>0.18137361509911068</v>
      </c>
      <c r="W97" s="5">
        <f>W74/(W95*1000)</f>
        <v>0.16402078869594083</v>
      </c>
      <c r="X97" s="5">
        <f>X74/(X95*1000)</f>
        <v>0.17186756584786009</v>
      </c>
      <c r="Y97" s="5">
        <f>Y74/(Y95*1000)</f>
        <v>0.17903242922932733</v>
      </c>
      <c r="Z97" s="5">
        <f>Z74/(Z95*1000)</f>
        <v>0.26419469212049324</v>
      </c>
      <c r="AA97" s="5">
        <f>AA74/(AA95*1000)</f>
        <v>0.28118565666676704</v>
      </c>
      <c r="AB97" s="5">
        <f>AB74/(AB95*1000)</f>
        <v>0.28656592696221034</v>
      </c>
      <c r="AC97" s="5">
        <f>AC74/(AC95*1000)</f>
        <v>0.32454381918065001</v>
      </c>
      <c r="AD97" s="5">
        <f>AD74/(AD95*1000)</f>
        <v>0.3063932374078413</v>
      </c>
      <c r="AE97" s="5">
        <f>AE74/(AE95*1000)</f>
        <v>0.27828327644988837</v>
      </c>
      <c r="AF97" s="5">
        <f>AF74/(AF95*1000)</f>
        <v>0.30598781645258838</v>
      </c>
      <c r="AG97" s="5">
        <f>AG74/(AG95*1000)</f>
        <v>0.33040734159231977</v>
      </c>
      <c r="AH97" s="5">
        <f>AH74/(AH95*1000)</f>
        <v>0.29458373968183488</v>
      </c>
      <c r="AI97" s="5">
        <f>AI74/(AI95*1000)</f>
        <v>0.31663453838667815</v>
      </c>
      <c r="AJ97" s="5">
        <f>AJ74/(AJ95*1000)</f>
        <v>0.32001621376020495</v>
      </c>
      <c r="AK97" s="5">
        <f>AK74/(AK95*1000)</f>
        <v>0.31338582029930862</v>
      </c>
      <c r="AL97" s="5">
        <f>AL74/(AL95*1000)</f>
        <v>0.34862208010366974</v>
      </c>
      <c r="AM97" s="5">
        <f>AM74/(AM95*1000)</f>
        <v>0.39198062938422723</v>
      </c>
      <c r="AN97" s="5">
        <f>AN74/(AN95*1000)</f>
        <v>0.38534347302788952</v>
      </c>
      <c r="AO97" s="5">
        <f>AO74/(AO95*1000)</f>
        <v>0.37608425788838645</v>
      </c>
      <c r="AP97" s="5">
        <f>AP74/(AP95*1000)</f>
        <v>0.40360677909658638</v>
      </c>
      <c r="AQ97" s="5">
        <f>AQ74/(AQ95*1000)</f>
        <v>0.41173927809703831</v>
      </c>
      <c r="AR97" s="5">
        <f>AR74/(AR95*1000)</f>
        <v>0.42571000337742776</v>
      </c>
      <c r="AS97" s="5">
        <f>AS74/(AS95*1000)</f>
        <v>0.44576260353013319</v>
      </c>
      <c r="AT97" s="5">
        <f>AT74/(AT95*1000)</f>
        <v>0.42897781511624711</v>
      </c>
      <c r="AU97" s="5">
        <f>AU74/(AU95*1000)</f>
        <v>0.43261684940091555</v>
      </c>
      <c r="AV97" s="5">
        <f>AV74/(AV95*1000)</f>
        <v>0.41969635609471412</v>
      </c>
      <c r="AW97" s="5">
        <f>AW74/(AW95*1000)</f>
        <v>0.40946474504418851</v>
      </c>
      <c r="AX97" s="5">
        <f>AX74/(AX95*1000)</f>
        <v>0.39323121203680877</v>
      </c>
      <c r="AY97" s="5">
        <f>AY74/(AY95*1000)</f>
        <v>0.39081142928553292</v>
      </c>
      <c r="AZ97" s="5">
        <f>AZ74/(AZ95*1000)</f>
        <v>0.39079958125893172</v>
      </c>
      <c r="BA97" s="5">
        <f>BA74/(BA95*1000)</f>
        <v>0.43317949175430126</v>
      </c>
      <c r="BB97" s="5">
        <f>BB74/(BB95*1000)</f>
        <v>0.46484732481262075</v>
      </c>
      <c r="BC97" s="5">
        <f>BC74/(BC95*1000)</f>
        <v>0.46829922955337655</v>
      </c>
      <c r="BD97" s="5">
        <f>BD74/(BD95*1000)</f>
        <v>0.49024744690122968</v>
      </c>
      <c r="BE97" s="5">
        <f>BE74/(BE95*1000)</f>
        <v>0.50185681442763319</v>
      </c>
      <c r="BF97" s="5">
        <f>BF74/(BF95*1000)</f>
        <v>0.53047360542494237</v>
      </c>
      <c r="BG97" s="5">
        <f>BG74/(BG95*1000)</f>
        <v>0.53190738048139496</v>
      </c>
      <c r="BH97" s="5">
        <f>BH74/(BH95*1000)</f>
        <v>0.58030661106257342</v>
      </c>
      <c r="BI97" s="5">
        <f>BI74/(BI95*1000)</f>
        <v>0.6821742721155345</v>
      </c>
      <c r="BJ97" s="5">
        <f>BJ74/(BJ95*1000)</f>
        <v>0.66686282782613304</v>
      </c>
      <c r="BK97" s="5">
        <f>BK74/(BK95*1000)</f>
        <v>0.66705149408664288</v>
      </c>
      <c r="BL97" s="5">
        <f>BL74/(BL95*1000)</f>
        <v>0.66426373759075263</v>
      </c>
      <c r="BM97" s="5">
        <f>BM74/(BM95*1000)</f>
        <v>0.68890019928656343</v>
      </c>
      <c r="BN97" s="5">
        <f>BN74/(BN95*1000)</f>
        <v>0.6876042215716911</v>
      </c>
      <c r="BO97" s="5">
        <f>BO74/(BO95*1000)</f>
        <v>0.76007955430346441</v>
      </c>
      <c r="BP97" s="5">
        <f>BP74/(BP95*1000)</f>
        <v>0.72735050053159778</v>
      </c>
      <c r="BQ97" s="5">
        <f>BQ74/(BQ95*1000)</f>
        <v>0.64484560849152039</v>
      </c>
      <c r="BR97" s="5">
        <f>BR74/(BR95*1000)</f>
        <v>0.64172190701351339</v>
      </c>
      <c r="BS97" s="5">
        <f>BS74/(BS95*1000)</f>
        <v>0.60835413652667703</v>
      </c>
      <c r="BT97" s="5">
        <f>BT74/(BT95*1000)</f>
        <v>0.62336482889215239</v>
      </c>
      <c r="BU97" s="5">
        <f>BU74/(BU95*1000)</f>
        <v>0.66473821579988068</v>
      </c>
      <c r="BV97" s="5">
        <f>BV74/(BV95*1000)</f>
        <v>0.65422669589133498</v>
      </c>
      <c r="BW97" s="5">
        <f>BW74/(BW95*1000)</f>
        <v>0.70160006901092964</v>
      </c>
      <c r="BX97" s="5">
        <f>BX74/(BX95*1000)</f>
        <v>0.74373632903134768</v>
      </c>
      <c r="BY97" s="5">
        <f>BY74/(BY95*1000)</f>
        <v>0.77699690599011317</v>
      </c>
      <c r="BZ97" s="5">
        <f>BZ74/(BZ95*1000)</f>
        <v>0.82225105407968169</v>
      </c>
      <c r="CA97" s="5">
        <f>CA74/(CA95*1000)</f>
        <v>0.88252741971905135</v>
      </c>
    </row>
    <row r="98" spans="3:79" x14ac:dyDescent="0.2">
      <c r="C98" t="s">
        <v>76</v>
      </c>
      <c r="D98" s="5">
        <f>D75/(D95*1000)</f>
        <v>1.1855647701769816</v>
      </c>
      <c r="E98" s="5">
        <f>E75/(E95*1000)</f>
        <v>1.1986183222447007</v>
      </c>
      <c r="F98" s="5">
        <f>F75/(F95*1000)</f>
        <v>1.2459633568052575</v>
      </c>
      <c r="G98" s="5">
        <f>G75/(G95*1000)</f>
        <v>1.2976425899387161</v>
      </c>
      <c r="H98" s="5">
        <f>H75/(H95*1000)</f>
        <v>1.3337905523989018</v>
      </c>
      <c r="I98" s="5">
        <f>I75/(I95*1000)</f>
        <v>1.4069016549135049</v>
      </c>
      <c r="J98" s="5">
        <f>J75/(J95*1000)</f>
        <v>1.4359629904099231</v>
      </c>
      <c r="K98" s="5">
        <f>K75/(K95*1000)</f>
        <v>1.4939795684121666</v>
      </c>
      <c r="L98" s="5">
        <f>L75/(L95*1000)</f>
        <v>1.6139854940707323</v>
      </c>
      <c r="M98" s="5">
        <f>M75/(M95*1000)</f>
        <v>1.5369939163985606</v>
      </c>
      <c r="N98" s="5">
        <f>N75/(N95*1000)</f>
        <v>1.459244879471433</v>
      </c>
      <c r="O98" s="5">
        <f>O75/(O95*1000)</f>
        <v>1.6031204099010359</v>
      </c>
      <c r="P98" s="5">
        <f>P75/(P95*1000)</f>
        <v>1.5247905501679659</v>
      </c>
      <c r="Q98" s="5">
        <f>Q75/(Q95*1000)</f>
        <v>1.4694301658077233</v>
      </c>
      <c r="R98" s="5">
        <f>R75/(R95*1000)</f>
        <v>1.5505081984889904</v>
      </c>
      <c r="S98" s="5">
        <f>S75/(S95*1000)</f>
        <v>1.5052699602607258</v>
      </c>
      <c r="T98" s="5">
        <f>T75/(T95*1000)</f>
        <v>1.5254520776369982</v>
      </c>
      <c r="U98" s="5">
        <f>U75/(U95*1000)</f>
        <v>1.5338968596733034</v>
      </c>
      <c r="V98" s="5">
        <f>V75/(V95*1000)</f>
        <v>1.6321674443142</v>
      </c>
      <c r="W98" s="5">
        <f>W75/(W95*1000)</f>
        <v>1.5859211753454103</v>
      </c>
      <c r="X98" s="5">
        <f>X75/(X95*1000)</f>
        <v>1.6147209045036013</v>
      </c>
      <c r="Y98" s="5">
        <f>Y75/(Y95*1000)</f>
        <v>1.6219621882355557</v>
      </c>
      <c r="Z98" s="5">
        <f>Z75/(Z95*1000)</f>
        <v>1.6893974697846581</v>
      </c>
      <c r="AA98" s="5">
        <f>AA75/(AA95*1000)</f>
        <v>1.6831095868335444</v>
      </c>
      <c r="AB98" s="5">
        <f>AB75/(AB95*1000)</f>
        <v>1.669197927288308</v>
      </c>
      <c r="AC98" s="5">
        <f>AC75/(AC95*1000)</f>
        <v>1.6515782728758326</v>
      </c>
      <c r="AD98" s="5">
        <f>AD75/(AD95*1000)</f>
        <v>1.6736564465875603</v>
      </c>
      <c r="AE98" s="5">
        <f>AE75/(AE95*1000)</f>
        <v>1.6491767962802897</v>
      </c>
      <c r="AF98" s="5">
        <f>AF75/(AF95*1000)</f>
        <v>1.6679241808223106</v>
      </c>
      <c r="AG98" s="5">
        <f>AG75/(AG95*1000)</f>
        <v>1.6421482451073415</v>
      </c>
      <c r="AH98" s="5">
        <f>AH75/(AH95*1000)</f>
        <v>1.650267331798263</v>
      </c>
      <c r="AI98" s="5">
        <f>AI75/(AI95*1000)</f>
        <v>1.7166931353437895</v>
      </c>
      <c r="AJ98" s="5">
        <f>AJ75/(AJ95*1000)</f>
        <v>1.7235828921222081</v>
      </c>
      <c r="AK98" s="5">
        <f>AK75/(AK95*1000)</f>
        <v>1.7437946199527952</v>
      </c>
      <c r="AL98" s="5">
        <f>AL75/(AL95*1000)</f>
        <v>1.7342628391413546</v>
      </c>
      <c r="AM98" s="5">
        <f>AM75/(AM95*1000)</f>
        <v>1.7769184693747722</v>
      </c>
      <c r="AN98" s="5">
        <f>AN75/(AN95*1000)</f>
        <v>1.8001980676090481</v>
      </c>
      <c r="AO98" s="5">
        <f>AO75/(AO95*1000)</f>
        <v>1.726644144154001</v>
      </c>
      <c r="AP98" s="5">
        <f>AP75/(AP95*1000)</f>
        <v>1.6781776784290692</v>
      </c>
      <c r="AQ98" s="5">
        <f>AQ75/(AQ95*1000)</f>
        <v>1.6757248400161062</v>
      </c>
      <c r="AR98" s="5">
        <f>AR75/(AR95*1000)</f>
        <v>1.7227038443893756</v>
      </c>
      <c r="AS98" s="5">
        <f>AS75/(AS95*1000)</f>
        <v>1.7548536739202025</v>
      </c>
      <c r="AT98" s="5">
        <f>AT75/(AT95*1000)</f>
        <v>1.7399466532970858</v>
      </c>
      <c r="AU98" s="5">
        <f>AU75/(AU95*1000)</f>
        <v>1.6847461093417444</v>
      </c>
      <c r="AV98" s="5">
        <f>AV75/(AV95*1000)</f>
        <v>1.7114695662114334</v>
      </c>
      <c r="AW98" s="5">
        <f>AW75/(AW95*1000)</f>
        <v>1.7418722078490767</v>
      </c>
      <c r="AX98" s="5">
        <f>AX75/(AX95*1000)</f>
        <v>1.76006280533368</v>
      </c>
      <c r="AY98" s="5">
        <f>AY75/(AY95*1000)</f>
        <v>1.7673621536223227</v>
      </c>
      <c r="AZ98" s="5">
        <f>AZ75/(AZ95*1000)</f>
        <v>1.7435698940303326</v>
      </c>
      <c r="BA98" s="5">
        <f>BA75/(BA95*1000)</f>
        <v>1.7417448264683315</v>
      </c>
      <c r="BB98" s="5">
        <f>BB75/(BB95*1000)</f>
        <v>1.765950228691848</v>
      </c>
      <c r="BC98" s="5">
        <f>BC75/(BC95*1000)</f>
        <v>1.6685533950474014</v>
      </c>
      <c r="BD98" s="5">
        <f>BD75/(BD95*1000)</f>
        <v>1.753819606282802</v>
      </c>
      <c r="BE98" s="5">
        <f>BE75/(BE95*1000)</f>
        <v>1.7897967551826723</v>
      </c>
      <c r="BF98" s="5">
        <f>BF75/(BF95*1000)</f>
        <v>1.8102704076879994</v>
      </c>
      <c r="BG98" s="5">
        <f>BG75/(BG95*1000)</f>
        <v>1.8470440519509745</v>
      </c>
      <c r="BH98" s="5">
        <f>BH75/(BH95*1000)</f>
        <v>1.8095020093514915</v>
      </c>
      <c r="BI98" s="5">
        <f>BI75/(BI95*1000)</f>
        <v>2.1141701684697867</v>
      </c>
      <c r="BJ98" s="5">
        <f>BJ75/(BJ95*1000)</f>
        <v>2.0174295054575953</v>
      </c>
      <c r="BK98" s="5">
        <f>BK75/(BK95*1000)</f>
        <v>2.1181138030955693</v>
      </c>
      <c r="BL98" s="5">
        <f>BL75/(BL95*1000)</f>
        <v>2.1065302578348137</v>
      </c>
      <c r="BM98" s="5">
        <f>BM75/(BM95*1000)</f>
        <v>2.1494821249525171</v>
      </c>
      <c r="BN98" s="5">
        <f>BN75/(BN95*1000)</f>
        <v>2.1182613102730454</v>
      </c>
      <c r="BO98" s="5">
        <f>BO75/(BO95*1000)</f>
        <v>2.1703747639245661</v>
      </c>
      <c r="BP98" s="5">
        <f>BP75/(BP95*1000)</f>
        <v>2.073254215037891</v>
      </c>
      <c r="BQ98" s="5">
        <f>BQ75/(BQ95*1000)</f>
        <v>1.8422460291955398</v>
      </c>
      <c r="BR98" s="5">
        <f>BR75/(BR95*1000)</f>
        <v>1.7680192429882891</v>
      </c>
      <c r="BS98" s="5">
        <f>BS75/(BS95*1000)</f>
        <v>1.7843831722099686</v>
      </c>
      <c r="BT98" s="5">
        <f>BT75/(BT95*1000)</f>
        <v>1.8212764748102468</v>
      </c>
      <c r="BU98" s="5">
        <f>BU75/(BU95*1000)</f>
        <v>1.8789087054021454</v>
      </c>
      <c r="BV98" s="5">
        <f>BV75/(BV95*1000)</f>
        <v>1.8220256748347925</v>
      </c>
      <c r="BW98" s="5">
        <f>BW75/(BW95*1000)</f>
        <v>1.9172655853894165</v>
      </c>
      <c r="BX98" s="5">
        <f>BX75/(BX95*1000)</f>
        <v>1.9954417382098961</v>
      </c>
      <c r="BY98" s="5">
        <f>BY75/(BY95*1000)</f>
        <v>2.0205239642228268</v>
      </c>
      <c r="BZ98" s="5">
        <f>BZ75/(BZ95*1000)</f>
        <v>2.104223590237575</v>
      </c>
      <c r="CA98" s="5">
        <f>CA75/(CA95*1000)</f>
        <v>2.0898217338095746</v>
      </c>
    </row>
    <row r="99" spans="3:79" x14ac:dyDescent="0.2">
      <c r="C99" t="s">
        <v>77</v>
      </c>
      <c r="D99" s="5">
        <f>D76/(D95*1000)</f>
        <v>0.3713510981560626</v>
      </c>
      <c r="E99" s="5">
        <f>E76/(E95*1000)</f>
        <v>0.36368645364238028</v>
      </c>
      <c r="F99" s="5">
        <f>F76/(F95*1000)</f>
        <v>0.38346711666777694</v>
      </c>
      <c r="G99" s="5">
        <f>G76/(G95*1000)</f>
        <v>0.40509987492485522</v>
      </c>
      <c r="H99" s="5">
        <f>H76/(H95*1000)</f>
        <v>0.40760532176823983</v>
      </c>
      <c r="I99" s="5">
        <f>I76/(I95*1000)</f>
        <v>0.43666457391368829</v>
      </c>
      <c r="J99" s="5">
        <f>J76/(J95*1000)</f>
        <v>0.44471546060773887</v>
      </c>
      <c r="K99" s="5">
        <f>K76/(K95*1000)</f>
        <v>0.43011478446092433</v>
      </c>
      <c r="L99" s="5">
        <f>L76/(L95*1000)</f>
        <v>0.39810300697553702</v>
      </c>
      <c r="M99" s="5">
        <f>M76/(M95*1000)</f>
        <v>0.3873032963598555</v>
      </c>
      <c r="N99" s="5">
        <f>N76/(N95*1000)</f>
        <v>0.35668751974545404</v>
      </c>
      <c r="O99" s="5">
        <f>O76/(O95*1000)</f>
        <v>0.28291907652745113</v>
      </c>
      <c r="P99" s="5">
        <f>P76/(P95*1000)</f>
        <v>0.25319089548248613</v>
      </c>
      <c r="Q99" s="5">
        <f>Q76/(Q95*1000)</f>
        <v>0.29737694312227403</v>
      </c>
      <c r="R99" s="5">
        <f>R76/(R95*1000)</f>
        <v>0.34946883779658522</v>
      </c>
      <c r="S99" s="5">
        <f>S76/(S95*1000)</f>
        <v>0.37072484400476713</v>
      </c>
      <c r="T99" s="5">
        <f>T76/(T95*1000)</f>
        <v>0.39168247586627752</v>
      </c>
      <c r="U99" s="5">
        <f>U76/(U95*1000)</f>
        <v>0.34341012829407469</v>
      </c>
      <c r="V99" s="5">
        <f>V76/(V95*1000)</f>
        <v>0.38342138981681401</v>
      </c>
      <c r="W99" s="5">
        <f>W76/(W95*1000)</f>
        <v>0.42284418132197094</v>
      </c>
      <c r="X99" s="5">
        <f>X76/(X95*1000)</f>
        <v>0.44868940050476019</v>
      </c>
      <c r="Y99" s="5">
        <f>Y76/(Y95*1000)</f>
        <v>0.44605011113904325</v>
      </c>
      <c r="Z99" s="5">
        <f>Z76/(Z95*1000)</f>
        <v>0.38686335610135175</v>
      </c>
      <c r="AA99" s="5">
        <f>AA76/(AA95*1000)</f>
        <v>0.42987953927530159</v>
      </c>
      <c r="AB99" s="5">
        <f>AB76/(AB95*1000)</f>
        <v>0.4774986690049447</v>
      </c>
      <c r="AC99" s="5">
        <f>AC76/(AC95*1000)</f>
        <v>0.46309913886586229</v>
      </c>
      <c r="AD99" s="5">
        <f>AD76/(AD95*1000)</f>
        <v>0.4865348847740264</v>
      </c>
      <c r="AE99" s="5">
        <f>AE76/(AE95*1000)</f>
        <v>0.48483561838464651</v>
      </c>
      <c r="AF99" s="5">
        <f>AF76/(AF95*1000)</f>
        <v>0.5258233793477477</v>
      </c>
      <c r="AG99" s="5">
        <f>AG76/(AG95*1000)</f>
        <v>0.5335721805303667</v>
      </c>
      <c r="AH99" s="5">
        <f>AH76/(AH95*1000)</f>
        <v>0.55742976899979813</v>
      </c>
      <c r="AI99" s="5">
        <f>AI76/(AI95*1000)</f>
        <v>0.59956983528229002</v>
      </c>
      <c r="AJ99" s="5">
        <f>AJ76/(AJ95*1000)</f>
        <v>0.60710693464454457</v>
      </c>
      <c r="AK99" s="5">
        <f>AK76/(AK95*1000)</f>
        <v>0.62637754311040639</v>
      </c>
      <c r="AL99" s="5">
        <f>AL76/(AL95*1000)</f>
        <v>0.62302145310653179</v>
      </c>
      <c r="AM99" s="5">
        <f>AM76/(AM95*1000)</f>
        <v>0.64416079227877454</v>
      </c>
      <c r="AN99" s="5">
        <f>AN76/(AN95*1000)</f>
        <v>0.65357311962684594</v>
      </c>
      <c r="AO99" s="5">
        <f>AO76/(AO95*1000)</f>
        <v>0.64321624369303265</v>
      </c>
      <c r="AP99" s="5">
        <f>AP76/(AP95*1000)</f>
        <v>0.59057128973276596</v>
      </c>
      <c r="AQ99" s="5">
        <f>AQ76/(AQ95*1000)</f>
        <v>0.61401599565004594</v>
      </c>
      <c r="AR99" s="5">
        <f>AR76/(AR95*1000)</f>
        <v>0.61248283689679761</v>
      </c>
      <c r="AS99" s="5">
        <f>AS76/(AS95*1000)</f>
        <v>0.61964945786331993</v>
      </c>
      <c r="AT99" s="5">
        <f>AT76/(AT95*1000)</f>
        <v>0.64258825884515125</v>
      </c>
      <c r="AU99" s="5">
        <f>AU76/(AU95*1000)</f>
        <v>0.64923913973314695</v>
      </c>
      <c r="AV99" s="5">
        <f>AV76/(AV95*1000)</f>
        <v>0.68519462882008186</v>
      </c>
      <c r="AW99" s="5">
        <f>AW76/(AW95*1000)</f>
        <v>0.69919453739646331</v>
      </c>
      <c r="AX99" s="5">
        <f>AX76/(AX95*1000)</f>
        <v>0.72314258227521566</v>
      </c>
      <c r="AY99" s="5">
        <f>AY76/(AY95*1000)</f>
        <v>0.75147691121584137</v>
      </c>
      <c r="AZ99" s="5">
        <f>AZ76/(AZ95*1000)</f>
        <v>0.73901728273527389</v>
      </c>
      <c r="BA99" s="5">
        <f>BA76/(BA95*1000)</f>
        <v>0.74740419666533731</v>
      </c>
      <c r="BB99" s="5">
        <f>BB76/(BB95*1000)</f>
        <v>0.78543757239023726</v>
      </c>
      <c r="BC99" s="5">
        <f>BC76/(BC95*1000)</f>
        <v>0.68289744838706545</v>
      </c>
      <c r="BD99" s="5">
        <f>BD76/(BD95*1000)</f>
        <v>0.75432492089656866</v>
      </c>
      <c r="BE99" s="5">
        <f>BE76/(BE95*1000)</f>
        <v>0.77507996331235285</v>
      </c>
      <c r="BF99" s="5">
        <f>BF76/(BF95*1000)</f>
        <v>0.76997602496199902</v>
      </c>
      <c r="BG99" s="5">
        <f>BG76/(BG95*1000)</f>
        <v>0.82462846193515527</v>
      </c>
      <c r="BH99" s="5">
        <f>BH76/(BH95*1000)</f>
        <v>0.68071021187420255</v>
      </c>
      <c r="BI99" s="5">
        <f>BI76/(BI95*1000)</f>
        <v>0.89032524181553219</v>
      </c>
      <c r="BJ99" s="5">
        <f>BJ76/(BJ95*1000)</f>
        <v>0.89457047093112507</v>
      </c>
      <c r="BK99" s="5">
        <f>BK76/(BK95*1000)</f>
        <v>1.001301975774179</v>
      </c>
      <c r="BL99" s="5">
        <f>BL76/(BL95*1000)</f>
        <v>1.0366686935790075</v>
      </c>
      <c r="BM99" s="5">
        <f>BM76/(BM95*1000)</f>
        <v>1.0920128285242485</v>
      </c>
      <c r="BN99" s="5">
        <f>BN76/(BN95*1000)</f>
        <v>1.0722772615373026</v>
      </c>
      <c r="BO99" s="5">
        <f>BO76/(BO95*1000)</f>
        <v>1.1468062485919424</v>
      </c>
      <c r="BP99" s="5">
        <f>BP76/(BP95*1000)</f>
        <v>1.063019633446757</v>
      </c>
      <c r="BQ99" s="5">
        <f>BQ76/(BQ95*1000)</f>
        <v>0.87381142473020879</v>
      </c>
      <c r="BR99" s="5">
        <f>BR76/(BR95*1000)</f>
        <v>0.81118126054377793</v>
      </c>
      <c r="BS99" s="5">
        <f>BS76/(BS95*1000)</f>
        <v>0.84512811025336498</v>
      </c>
      <c r="BT99" s="5">
        <f>BT76/(BT95*1000)</f>
        <v>0.88690747313419027</v>
      </c>
      <c r="BU99" s="5">
        <f>BU76/(BU95*1000)</f>
        <v>0.942544196498738</v>
      </c>
      <c r="BV99" s="5">
        <f>BV76/(BV95*1000)</f>
        <v>0.8966967498253432</v>
      </c>
      <c r="BW99" s="5">
        <f>BW76/(BW95*1000)</f>
        <v>0.9794500237428273</v>
      </c>
      <c r="BX99" s="5">
        <f>BX76/(BX95*1000)</f>
        <v>1.0600773775384624</v>
      </c>
      <c r="BY99" s="5">
        <f>BY76/(BY95*1000)</f>
        <v>1.0841197938539835</v>
      </c>
      <c r="BZ99" s="5">
        <f>BZ76/(BZ95*1000)</f>
        <v>1.1353337068493206</v>
      </c>
      <c r="CA99" s="5">
        <f>CA76/(CA95*1000)</f>
        <v>1.1548365986333404</v>
      </c>
    </row>
    <row r="100" spans="3:79" x14ac:dyDescent="0.2">
      <c r="C100" t="s">
        <v>78</v>
      </c>
      <c r="D100" s="5">
        <f>D77/(D95*1000)</f>
        <v>0.18052526773712493</v>
      </c>
      <c r="E100" s="5">
        <f>E77/(E95*1000)</f>
        <v>0.17676827239529588</v>
      </c>
      <c r="F100" s="5">
        <f>F77/(F95*1000)</f>
        <v>0.18743682493705205</v>
      </c>
      <c r="G100" s="5">
        <f>G77/(G95*1000)</f>
        <v>0.19885900982651877</v>
      </c>
      <c r="H100" s="5">
        <f>H77/(H95*1000)</f>
        <v>0.20039863105812039</v>
      </c>
      <c r="I100" s="5">
        <f>I77/(I95*1000)</f>
        <v>0.21729656864889396</v>
      </c>
      <c r="J100" s="5">
        <f>J77/(J95*1000)</f>
        <v>0.22124430887227836</v>
      </c>
      <c r="K100" s="5">
        <f>K77/(K95*1000)</f>
        <v>0.21961524038845107</v>
      </c>
      <c r="L100" s="5">
        <f>L77/(L95*1000)</f>
        <v>0.20474050384937639</v>
      </c>
      <c r="M100" s="5">
        <f>M77/(M95*1000)</f>
        <v>0.19974086657601953</v>
      </c>
      <c r="N100" s="5">
        <f>N77/(N95*1000)</f>
        <v>0.18333560529804721</v>
      </c>
      <c r="O100" s="5">
        <f>O77/(O95*1000)</f>
        <v>0.14597497886291194</v>
      </c>
      <c r="P100" s="5">
        <f>P77/(P95*1000)</f>
        <v>0.13198994768310393</v>
      </c>
      <c r="Q100" s="5">
        <f>Q77/(Q95*1000)</f>
        <v>0.1566055240314532</v>
      </c>
      <c r="R100" s="5">
        <f>R77/(R95*1000)</f>
        <v>0.18603716190636757</v>
      </c>
      <c r="S100" s="5">
        <f>S77/(S95*1000)</f>
        <v>0.19914213457159863</v>
      </c>
      <c r="T100" s="5">
        <f>T77/(T95*1000)</f>
        <v>0.21251079439280821</v>
      </c>
      <c r="U100" s="5">
        <f>U77/(U95*1000)</f>
        <v>0.18786513631700205</v>
      </c>
      <c r="V100" s="5">
        <f>V77/(V95*1000)</f>
        <v>0.20933431966633395</v>
      </c>
      <c r="W100" s="5">
        <f>W77/(W95*1000)</f>
        <v>0.23160619365498775</v>
      </c>
      <c r="X100" s="5">
        <f>X77/(X95*1000)</f>
        <v>0.2471265902734387</v>
      </c>
      <c r="Y100" s="5">
        <f>Y77/(Y95*1000)</f>
        <v>0.24617627505224315</v>
      </c>
      <c r="Z100" s="5">
        <f>Z77/(Z95*1000)</f>
        <v>0.21514256426511791</v>
      </c>
      <c r="AA100" s="5">
        <f>AA77/(AA95*1000)</f>
        <v>0.24250966986463232</v>
      </c>
      <c r="AB100" s="5">
        <f>AB77/(AB95*1000)</f>
        <v>0.27103241342464485</v>
      </c>
      <c r="AC100" s="5">
        <f>AC77/(AC95*1000)</f>
        <v>0.26296185348225148</v>
      </c>
      <c r="AD100" s="5">
        <f>AD77/(AD95*1000)</f>
        <v>0.27626879947174987</v>
      </c>
      <c r="AE100" s="5">
        <f>AE77/(AE95*1000)</f>
        <v>0.27681151132623349</v>
      </c>
      <c r="AF100" s="5">
        <f>AF77/(AF95*1000)</f>
        <v>0.30035867564934543</v>
      </c>
      <c r="AG100" s="5">
        <f>AG77/(AG95*1000)</f>
        <v>0.30348000413899784</v>
      </c>
      <c r="AH100" s="5">
        <f>AH77/(AH95*1000)</f>
        <v>0.31888460890094622</v>
      </c>
      <c r="AI100" s="5">
        <f>AI77/(AI95*1000)</f>
        <v>0.34112340150391879</v>
      </c>
      <c r="AJ100" s="5">
        <f>AJ77/(AJ95*1000)</f>
        <v>0.35185278436036183</v>
      </c>
      <c r="AK100" s="5">
        <f>AK77/(AK95*1000)</f>
        <v>0.36259212257116874</v>
      </c>
      <c r="AL100" s="5">
        <f>AL77/(AL95*1000)</f>
        <v>0.36152659918756375</v>
      </c>
      <c r="AM100" s="5">
        <f>AM77/(AM95*1000)</f>
        <v>0.37083953236249123</v>
      </c>
      <c r="AN100" s="5">
        <f>AN77/(AN95*1000)</f>
        <v>0.37248878665957247</v>
      </c>
      <c r="AO100" s="5">
        <f>AO77/(AO95*1000)</f>
        <v>0.36432066155705123</v>
      </c>
      <c r="AP100" s="5">
        <f>AP77/(AP95*1000)</f>
        <v>0.3311895916154366</v>
      </c>
      <c r="AQ100" s="5">
        <f>AQ77/(AQ95*1000)</f>
        <v>0.33680682709328386</v>
      </c>
      <c r="AR100" s="5">
        <f>AR77/(AR95*1000)</f>
        <v>0.33132641686656211</v>
      </c>
      <c r="AS100" s="5">
        <f>AS77/(AS95*1000)</f>
        <v>0.33057655578311368</v>
      </c>
      <c r="AT100" s="5">
        <f>AT77/(AT95*1000)</f>
        <v>0.34347080892192988</v>
      </c>
      <c r="AU100" s="5">
        <f>AU77/(AU95*1000)</f>
        <v>0.3441818615471986</v>
      </c>
      <c r="AV100" s="5">
        <f>AV77/(AV95*1000)</f>
        <v>0.36351947429274684</v>
      </c>
      <c r="AW100" s="5">
        <f>AW77/(AW95*1000)</f>
        <v>0.36993235587484169</v>
      </c>
      <c r="AX100" s="5">
        <f>AX77/(AX95*1000)</f>
        <v>0.38343296046051828</v>
      </c>
      <c r="AY100" s="5">
        <f>AY77/(AY95*1000)</f>
        <v>0.39634257233386411</v>
      </c>
      <c r="AZ100" s="5">
        <f>AZ77/(AZ95*1000)</f>
        <v>0.3925968562543532</v>
      </c>
      <c r="BA100" s="5">
        <f>BA77/(BA95*1000)</f>
        <v>0.39572298836902853</v>
      </c>
      <c r="BB100" s="5">
        <f>BB77/(BB95*1000)</f>
        <v>0.41007763454787866</v>
      </c>
      <c r="BC100" s="5">
        <f>BC77/(BC95*1000)</f>
        <v>0.36042020919245732</v>
      </c>
      <c r="BD100" s="5">
        <f>BD77/(BD95*1000)</f>
        <v>0.3914825498777923</v>
      </c>
      <c r="BE100" s="5">
        <f>BE77/(BE95*1000)</f>
        <v>0.40239115563378114</v>
      </c>
      <c r="BF100" s="5">
        <f>BF77/(BF95*1000)</f>
        <v>0.39813537407795885</v>
      </c>
      <c r="BG100" s="5">
        <f>BG77/(BG95*1000)</f>
        <v>0.42384302311877003</v>
      </c>
      <c r="BH100" s="5">
        <f>BH77/(BH95*1000)</f>
        <v>0.35770699988498528</v>
      </c>
      <c r="BI100" s="5">
        <f>BI77/(BI95*1000)</f>
        <v>0.46754614544827794</v>
      </c>
      <c r="BJ100" s="5">
        <f>BJ77/(BJ95*1000)</f>
        <v>0.47201899638134082</v>
      </c>
      <c r="BK100" s="5">
        <f>BK77/(BK95*1000)</f>
        <v>0.53626140508892051</v>
      </c>
      <c r="BL100" s="5">
        <f>BL77/(BL95*1000)</f>
        <v>0.5570906261976265</v>
      </c>
      <c r="BM100" s="5">
        <f>BM77/(BM95*1000)</f>
        <v>0.58675482728918626</v>
      </c>
      <c r="BN100" s="5">
        <f>BN77/(BN95*1000)</f>
        <v>0.57585666677995151</v>
      </c>
      <c r="BO100" s="5">
        <f>BO77/(BO95*1000)</f>
        <v>0.61551404974234614</v>
      </c>
      <c r="BP100" s="5">
        <f>BP77/(BP95*1000)</f>
        <v>0.56898876171001389</v>
      </c>
      <c r="BQ100" s="5">
        <f>BQ77/(BQ95*1000)</f>
        <v>0.47221780568555327</v>
      </c>
      <c r="BR100" s="5">
        <f>BR77/(BR95*1000)</f>
        <v>0.43897987101177749</v>
      </c>
      <c r="BS100" s="5">
        <f>BS77/(BS95*1000)</f>
        <v>0.45361129459382799</v>
      </c>
      <c r="BT100" s="5">
        <f>BT77/(BT95*1000)</f>
        <v>0.47320623321168742</v>
      </c>
      <c r="BU100" s="5">
        <f>BU77/(BU95*1000)</f>
        <v>0.49992130419761333</v>
      </c>
      <c r="BV100" s="5">
        <f>BV77/(BV95*1000)</f>
        <v>0.47903937174376565</v>
      </c>
      <c r="BW100" s="5">
        <f>BW77/(BW95*1000)</f>
        <v>0.52078086672681212</v>
      </c>
      <c r="BX100" s="5">
        <f>BX77/(BX95*1000)</f>
        <v>0.56324368139274683</v>
      </c>
      <c r="BY100" s="5">
        <f>BY77/(BY95*1000)</f>
        <v>0.57513676428006288</v>
      </c>
      <c r="BZ100" s="5">
        <f>BZ77/(BZ95*1000)</f>
        <v>0.6048636261539353</v>
      </c>
      <c r="CA100" s="5">
        <f>CA77/(CA95*1000)</f>
        <v>0.62048938186502267</v>
      </c>
    </row>
    <row r="101" spans="3:79" x14ac:dyDescent="0.2">
      <c r="C101" t="s">
        <v>79</v>
      </c>
      <c r="D101" s="5">
        <f>D78/(D95*1000)</f>
        <v>0.43676837392897799</v>
      </c>
      <c r="E101" s="5">
        <f>E78/(E95*1000)</f>
        <v>0.45024482630652557</v>
      </c>
      <c r="F101" s="5">
        <f>F78/(F95*1000)</f>
        <v>0.4754522433293622</v>
      </c>
      <c r="G101" s="5">
        <f>G78/(G95*1000)</f>
        <v>0.4920881423634359</v>
      </c>
      <c r="H101" s="5">
        <f>H78/(H95*1000)</f>
        <v>0.51611952206761402</v>
      </c>
      <c r="I101" s="5">
        <f>I78/(I95*1000)</f>
        <v>0.52718593047866269</v>
      </c>
      <c r="J101" s="5">
        <f>J78/(J95*1000)</f>
        <v>0.53525181100920849</v>
      </c>
      <c r="K101" s="5">
        <f>K78/(K95*1000)</f>
        <v>0.55263451900767224</v>
      </c>
      <c r="L101" s="5">
        <f>L78/(L95*1000)</f>
        <v>0.57332602683241973</v>
      </c>
      <c r="M101" s="5">
        <f>M78/(M95*1000)</f>
        <v>0.57056522258856146</v>
      </c>
      <c r="N101" s="5">
        <f>N78/(N95*1000)</f>
        <v>0.55550154745295299</v>
      </c>
      <c r="O101" s="5">
        <f>O78/(O95*1000)</f>
        <v>0.57735838801320549</v>
      </c>
      <c r="P101" s="5">
        <f>P78/(P95*1000)</f>
        <v>0.57891800526398141</v>
      </c>
      <c r="Q101" s="5">
        <f>Q78/(Q95*1000)</f>
        <v>0.59089455176175398</v>
      </c>
      <c r="R101" s="5">
        <f>R78/(R95*1000)</f>
        <v>0.60207945500558446</v>
      </c>
      <c r="S101" s="5">
        <f>S78/(S95*1000)</f>
        <v>0.59041259895316778</v>
      </c>
      <c r="T101" s="5">
        <f>T78/(T95*1000)</f>
        <v>0.59580551060949116</v>
      </c>
      <c r="U101" s="5">
        <f>U78/(U95*1000)</f>
        <v>0.60056662821366857</v>
      </c>
      <c r="V101" s="5">
        <f>V78/(V95*1000)</f>
        <v>0.62819943748374929</v>
      </c>
      <c r="W101" s="5">
        <f>W78/(W95*1000)</f>
        <v>0.62019354812582062</v>
      </c>
      <c r="X101" s="5">
        <f>X78/(X95*1000)</f>
        <v>0.62606094226420861</v>
      </c>
      <c r="Y101" s="5">
        <f>Y78/(Y95*1000)</f>
        <v>0.63053507370285233</v>
      </c>
      <c r="Z101" s="5">
        <f>Z78/(Z95*1000)</f>
        <v>0.64333115196629787</v>
      </c>
      <c r="AA101" s="5">
        <f>AA78/(AA95*1000)</f>
        <v>0.63350845356082108</v>
      </c>
      <c r="AB101" s="5">
        <f>AB78/(AB95*1000)</f>
        <v>0.63376984162792438</v>
      </c>
      <c r="AC101" s="5">
        <f>AC78/(AC95*1000)</f>
        <v>0.63444783355951995</v>
      </c>
      <c r="AD101" s="5">
        <f>AD78/(AD95*1000)</f>
        <v>0.64709987860565443</v>
      </c>
      <c r="AE101" s="5">
        <f>AE78/(AE95*1000)</f>
        <v>0.65041549792365216</v>
      </c>
      <c r="AF101" s="5">
        <f>AF78/(AF95*1000)</f>
        <v>0.65265441184023087</v>
      </c>
      <c r="AG101" s="5">
        <f>AG78/(AG95*1000)</f>
        <v>0.63891768672580218</v>
      </c>
      <c r="AH101" s="5">
        <f>AH78/(AH95*1000)</f>
        <v>0.6393816550565129</v>
      </c>
      <c r="AI101" s="5">
        <f>AI78/(AI95*1000)</f>
        <v>0.6426452879094654</v>
      </c>
      <c r="AJ101" s="5">
        <f>AJ78/(AJ95*1000)</f>
        <v>0.65542067218374878</v>
      </c>
      <c r="AK101" s="5">
        <f>AK78/(AK95*1000)</f>
        <v>0.6547810464224465</v>
      </c>
      <c r="AL101" s="5">
        <f>AL78/(AL95*1000)</f>
        <v>0.6509194894605933</v>
      </c>
      <c r="AM101" s="5">
        <f>AM78/(AM95*1000)</f>
        <v>0.65667530832127308</v>
      </c>
      <c r="AN101" s="5">
        <f>AN78/(AN95*1000)</f>
        <v>0.66270682766363098</v>
      </c>
      <c r="AO101" s="5">
        <f>AO78/(AO95*1000)</f>
        <v>0.66231887641560749</v>
      </c>
      <c r="AP101" s="5">
        <f>AP78/(AP95*1000)</f>
        <v>0.65370777560635129</v>
      </c>
      <c r="AQ101" s="5">
        <f>AQ78/(AQ95*1000)</f>
        <v>0.65394669971804387</v>
      </c>
      <c r="AR101" s="5">
        <f>AR78/(AR95*1000)</f>
        <v>0.66703917152242753</v>
      </c>
      <c r="AS101" s="5">
        <f>AS78/(AS95*1000)</f>
        <v>0.67493438063517686</v>
      </c>
      <c r="AT101" s="5">
        <f>AT78/(AT95*1000)</f>
        <v>0.67476957560031714</v>
      </c>
      <c r="AU101" s="5">
        <f>AU78/(AU95*1000)</f>
        <v>0.65360470867072207</v>
      </c>
      <c r="AV101" s="5">
        <f>AV78/(AV95*1000)</f>
        <v>0.65300540184368494</v>
      </c>
      <c r="AW101" s="5">
        <f>AW78/(AW95*1000)</f>
        <v>0.66634615389561913</v>
      </c>
      <c r="AX101" s="5">
        <f>AX78/(AX95*1000)</f>
        <v>0.67084607183563161</v>
      </c>
      <c r="AY101" s="5">
        <f>AY78/(AY95*1000)</f>
        <v>0.6575870206289457</v>
      </c>
      <c r="AZ101" s="5">
        <f>AZ78/(AZ95*1000)</f>
        <v>0.64624230755627321</v>
      </c>
      <c r="BA101" s="5">
        <f>BA78/(BA95*1000)</f>
        <v>0.6316425141898474</v>
      </c>
      <c r="BB101" s="5">
        <f>BB78/(BB95*1000)</f>
        <v>0.6269806858399527</v>
      </c>
      <c r="BC101" s="5">
        <f>BC78/(BC95*1000)</f>
        <v>0.61922733326490698</v>
      </c>
      <c r="BD101" s="5">
        <f>BD78/(BD95*1000)</f>
        <v>0.63163185168343472</v>
      </c>
      <c r="BE101" s="5">
        <f>BE78/(BE95*1000)</f>
        <v>0.63581799330384081</v>
      </c>
      <c r="BF101" s="5">
        <f>BF78/(BF95*1000)</f>
        <v>0.6504516172939836</v>
      </c>
      <c r="BG101" s="5">
        <f>BG78/(BG95*1000)</f>
        <v>0.64429855410631276</v>
      </c>
      <c r="BH101" s="5">
        <f>BH78/(BH95*1000)</f>
        <v>0.64982731456042409</v>
      </c>
      <c r="BI101" s="5">
        <f>BI78/(BI95*1000)</f>
        <v>0.73402970106911092</v>
      </c>
      <c r="BJ101" s="5">
        <f>BJ78/(BJ95*1000)</f>
        <v>0.68233591740036492</v>
      </c>
      <c r="BK101" s="5">
        <f>BK78/(BK95*1000)</f>
        <v>0.67742737960847565</v>
      </c>
      <c r="BL101" s="5">
        <f>BL78/(BL95*1000)</f>
        <v>0.65314287860598808</v>
      </c>
      <c r="BM101" s="5">
        <f>BM78/(BM95*1000)</f>
        <v>0.6490580777556938</v>
      </c>
      <c r="BN101" s="5">
        <f>BN78/(BN95*1000)</f>
        <v>0.63669290737547724</v>
      </c>
      <c r="BO101" s="5">
        <f>BO78/(BO95*1000)</f>
        <v>0.62247404229674264</v>
      </c>
      <c r="BP101" s="5">
        <f>BP78/(BP95*1000)</f>
        <v>0.59707831983124982</v>
      </c>
      <c r="BQ101" s="5">
        <f>BQ78/(BQ95*1000)</f>
        <v>0.56119597341542449</v>
      </c>
      <c r="BR101" s="5">
        <f>BR78/(BR95*1000)</f>
        <v>0.53903760926409483</v>
      </c>
      <c r="BS101" s="5">
        <f>BS78/(BS95*1000)</f>
        <v>0.53700827592981104</v>
      </c>
      <c r="BT101" s="5">
        <f>BT78/(BT95*1000)</f>
        <v>0.54421390911524914</v>
      </c>
      <c r="BU101" s="5">
        <f>BU78/(BU95*1000)</f>
        <v>0.54562118233841084</v>
      </c>
      <c r="BV101" s="5">
        <f>BV78/(BV95*1000)</f>
        <v>0.53534200545722443</v>
      </c>
      <c r="BW101" s="5">
        <f>BW78/(BW95*1000)</f>
        <v>0.55519780618184278</v>
      </c>
      <c r="BX101" s="5">
        <f>BX78/(BX95*1000)</f>
        <v>0.55725672684760508</v>
      </c>
      <c r="BY101" s="5">
        <f>BY78/(BY95*1000)</f>
        <v>0.55626050558309259</v>
      </c>
      <c r="BZ101" s="5">
        <f>BZ78/(BZ95*1000)</f>
        <v>0.57602081830775742</v>
      </c>
      <c r="CA101" s="5">
        <f>CA78/(CA95*1000)</f>
        <v>0.55840330853350695</v>
      </c>
    </row>
    <row r="102" spans="3:79" x14ac:dyDescent="0.2">
      <c r="C102" t="s">
        <v>80</v>
      </c>
      <c r="D102" s="5">
        <f>D79/(D95*1000)</f>
        <v>0.37851859967821544</v>
      </c>
      <c r="E102" s="5">
        <f>E79/(E95*1000)</f>
        <v>0.38974011126247543</v>
      </c>
      <c r="F102" s="5">
        <f>F79/(F95*1000)</f>
        <v>0.41401371055677111</v>
      </c>
      <c r="G102" s="5">
        <f>G79/(G95*1000)</f>
        <v>0.43104128619415422</v>
      </c>
      <c r="H102" s="5">
        <f>H79/(H95*1000)</f>
        <v>0.45182116527762251</v>
      </c>
      <c r="I102" s="5">
        <f>I79/(I95*1000)</f>
        <v>0.46180552228490296</v>
      </c>
      <c r="J102" s="5">
        <f>J79/(J95*1000)</f>
        <v>0.46764812449666532</v>
      </c>
      <c r="K102" s="5">
        <f>K79/(K95*1000)</f>
        <v>0.48218110998950869</v>
      </c>
      <c r="L102" s="5">
        <f>L79/(L95*1000)</f>
        <v>0.50029667077323026</v>
      </c>
      <c r="M102" s="5">
        <f>M79/(M95*1000)</f>
        <v>0.49498331763836767</v>
      </c>
      <c r="N102" s="5">
        <f>N79/(N95*1000)</f>
        <v>0.47970007917981605</v>
      </c>
      <c r="O102" s="5">
        <f>O79/(O95*1000)</f>
        <v>0.50269269833146557</v>
      </c>
      <c r="P102" s="5">
        <f>P79/(P95*1000)</f>
        <v>0.50332390865103238</v>
      </c>
      <c r="Q102" s="5">
        <f>Q79/(Q95*1000)</f>
        <v>0.51323641445005141</v>
      </c>
      <c r="R102" s="5">
        <f>R79/(R95*1000)</f>
        <v>0.52343662298577842</v>
      </c>
      <c r="S102" s="5">
        <f>S79/(S95*1000)</f>
        <v>0.51501090453107445</v>
      </c>
      <c r="T102" s="5">
        <f>T79/(T95*1000)</f>
        <v>0.51970177336211387</v>
      </c>
      <c r="U102" s="5">
        <f>U79/(U95*1000)</f>
        <v>0.5253655276671001</v>
      </c>
      <c r="V102" s="5">
        <f>V79/(V95*1000)</f>
        <v>0.55198975907907266</v>
      </c>
      <c r="W102" s="5">
        <f>W79/(W95*1000)</f>
        <v>0.54368249359840837</v>
      </c>
      <c r="X102" s="5">
        <f>X79/(X95*1000)</f>
        <v>0.5486216674804878</v>
      </c>
      <c r="Y102" s="5">
        <f>Y79/(Y95*1000)</f>
        <v>0.55296785693418482</v>
      </c>
      <c r="Z102" s="5">
        <f>Z79/(Z95*1000)</f>
        <v>0.56533684226671299</v>
      </c>
      <c r="AA102" s="5">
        <f>AA79/(AA95*1000)</f>
        <v>0.55581353644073106</v>
      </c>
      <c r="AB102" s="5">
        <f>AB79/(AB95*1000)</f>
        <v>0.55811001502600843</v>
      </c>
      <c r="AC102" s="5">
        <f>AC79/(AC95*1000)</f>
        <v>0.55751261097363725</v>
      </c>
      <c r="AD102" s="5">
        <f>AD79/(AD95*1000)</f>
        <v>0.57020267910721267</v>
      </c>
      <c r="AE102" s="5">
        <f>AE79/(AE95*1000)</f>
        <v>0.57449837303177209</v>
      </c>
      <c r="AF102" s="5">
        <f>AF79/(AF95*1000)</f>
        <v>0.57478732371430918</v>
      </c>
      <c r="AG102" s="5">
        <f>AG79/(AG95*1000)</f>
        <v>0.55929254937939832</v>
      </c>
      <c r="AH102" s="5">
        <f>AH79/(AH95*1000)</f>
        <v>0.55959423465058478</v>
      </c>
      <c r="AI102" s="5">
        <f>AI79/(AI95*1000)</f>
        <v>0.56285716063948044</v>
      </c>
      <c r="AJ102" s="5">
        <f>AJ79/(AJ95*1000)</f>
        <v>0.57479698783642363</v>
      </c>
      <c r="AK102" s="5">
        <f>AK79/(AK95*1000)</f>
        <v>0.57478622037904137</v>
      </c>
      <c r="AL102" s="5">
        <f>AL79/(AL95*1000)</f>
        <v>0.56906168579732863</v>
      </c>
      <c r="AM102" s="5">
        <f>AM79/(AM95*1000)</f>
        <v>0.57387414381100044</v>
      </c>
      <c r="AN102" s="5">
        <f>AN79/(AN95*1000)</f>
        <v>0.57611095816326918</v>
      </c>
      <c r="AO102" s="5">
        <f>AO79/(AO95*1000)</f>
        <v>0.57462746824579547</v>
      </c>
      <c r="AP102" s="5">
        <f>AP79/(AP95*1000)</f>
        <v>0.56617415221893974</v>
      </c>
      <c r="AQ102" s="5">
        <f>AQ79/(AQ95*1000)</f>
        <v>0.56613444207113839</v>
      </c>
      <c r="AR102" s="5">
        <f>AR79/(AR95*1000)</f>
        <v>0.57972205772308472</v>
      </c>
      <c r="AS102" s="5">
        <f>AS79/(AS95*1000)</f>
        <v>0.58598950539079775</v>
      </c>
      <c r="AT102" s="5">
        <f>AT79/(AT95*1000)</f>
        <v>0.58342045280174992</v>
      </c>
      <c r="AU102" s="5">
        <f>AU79/(AU95*1000)</f>
        <v>0.56522242027883673</v>
      </c>
      <c r="AV102" s="5">
        <f>AV79/(AV95*1000)</f>
        <v>0.56527979857349164</v>
      </c>
      <c r="AW102" s="5">
        <f>AW79/(AW95*1000)</f>
        <v>0.57891026652426303</v>
      </c>
      <c r="AX102" s="5">
        <f>AX79/(AX95*1000)</f>
        <v>0.58339776956769795</v>
      </c>
      <c r="AY102" s="5">
        <f>AY79/(AY95*1000)</f>
        <v>0.57177644775528258</v>
      </c>
      <c r="AZ102" s="5">
        <f>AZ79/(AZ95*1000)</f>
        <v>0.56130571615205471</v>
      </c>
      <c r="BA102" s="5">
        <f>BA79/(BA95*1000)</f>
        <v>0.54987339725275541</v>
      </c>
      <c r="BB102" s="5">
        <f>BB79/(BB95*1000)</f>
        <v>0.54466599643343605</v>
      </c>
      <c r="BC102" s="5">
        <f>BC79/(BC95*1000)</f>
        <v>0.54044391811077108</v>
      </c>
      <c r="BD102" s="5">
        <f>BD79/(BD95*1000)</f>
        <v>0.55400310729646263</v>
      </c>
      <c r="BE102" s="5">
        <f>BE79/(BE95*1000)</f>
        <v>0.55748352948774782</v>
      </c>
      <c r="BF102" s="5">
        <f>BF79/(BF95*1000)</f>
        <v>0.57245361285777052</v>
      </c>
      <c r="BG102" s="5">
        <f>BG79/(BG95*1000)</f>
        <v>0.56842213342438552</v>
      </c>
      <c r="BH102" s="5">
        <f>BH79/(BH95*1000)</f>
        <v>0.57360980063335865</v>
      </c>
      <c r="BI102" s="5">
        <f>BI79/(BI95*1000)</f>
        <v>0.6555021799363987</v>
      </c>
      <c r="BJ102" s="5">
        <f>BJ79/(BJ95*1000)</f>
        <v>0.60637644745330443</v>
      </c>
      <c r="BK102" s="5">
        <f>BK79/(BK95*1000)</f>
        <v>0.60435084569971675</v>
      </c>
      <c r="BL102" s="5">
        <f>BL79/(BL95*1000)</f>
        <v>0.58169168072462862</v>
      </c>
      <c r="BM102" s="5">
        <f>BM79/(BM95*1000)</f>
        <v>0.57890895923425623</v>
      </c>
      <c r="BN102" s="5">
        <f>BN79/(BN95*1000)</f>
        <v>0.56613665643465882</v>
      </c>
      <c r="BO102" s="5">
        <f>BO79/(BO95*1000)</f>
        <v>0.5537784621390176</v>
      </c>
      <c r="BP102" s="5">
        <f>BP79/(BP95*1000)</f>
        <v>0.52841794752281446</v>
      </c>
      <c r="BQ102" s="5">
        <f>BQ79/(BQ95*1000)</f>
        <v>0.49494394494631072</v>
      </c>
      <c r="BR102" s="5">
        <f>BR79/(BR95*1000)</f>
        <v>0.47220260375195489</v>
      </c>
      <c r="BS102" s="5">
        <f>BS79/(BS95*1000)</f>
        <v>0.47086607204675857</v>
      </c>
      <c r="BT102" s="5">
        <f>BT79/(BT95*1000)</f>
        <v>0.47892692774381312</v>
      </c>
      <c r="BU102" s="5">
        <f>BU79/(BU95*1000)</f>
        <v>0.47991406658783126</v>
      </c>
      <c r="BV102" s="5">
        <f>BV79/(BV95*1000)</f>
        <v>0.47082718323214101</v>
      </c>
      <c r="BW102" s="5">
        <f>BW79/(BW95*1000)</f>
        <v>0.49052133396487335</v>
      </c>
      <c r="BX102" s="5">
        <f>BX79/(BX95*1000)</f>
        <v>0.49254450860917082</v>
      </c>
      <c r="BY102" s="5">
        <f>BY79/(BY95*1000)</f>
        <v>0.48990374995597363</v>
      </c>
      <c r="BZ102" s="5">
        <f>BZ79/(BZ95*1000)</f>
        <v>0.50932772092541279</v>
      </c>
      <c r="CA102" s="5">
        <f>CA79/(CA95*1000)</f>
        <v>0.49265216662275135</v>
      </c>
    </row>
    <row r="103" spans="3:79" x14ac:dyDescent="0.2">
      <c r="C103" t="s">
        <v>81</v>
      </c>
      <c r="D103" s="5">
        <f>D80/(D95*1000)</f>
        <v>0.14663971892381589</v>
      </c>
      <c r="E103" s="5">
        <f>E80/(E95*1000)</f>
        <v>0.14397949194324264</v>
      </c>
      <c r="F103" s="5">
        <f>F80/(F95*1000)</f>
        <v>0.14827066511283049</v>
      </c>
      <c r="G103" s="5">
        <f>G80/(G95*1000)</f>
        <v>0.15144192553042973</v>
      </c>
      <c r="H103" s="5">
        <f>H80/(H95*1000)</f>
        <v>0.15630631337249346</v>
      </c>
      <c r="I103" s="5">
        <f>I80/(I95*1000)</f>
        <v>0.15231443620443211</v>
      </c>
      <c r="J103" s="5">
        <f>J80/(J95*1000)</f>
        <v>0.15437750191103244</v>
      </c>
      <c r="K103" s="5">
        <f>K80/(K95*1000)</f>
        <v>0.16149729073443</v>
      </c>
      <c r="L103" s="5">
        <f>L80/(L95*1000)</f>
        <v>0.17383649367376605</v>
      </c>
      <c r="M103" s="5">
        <f>M80/(M95*1000)</f>
        <v>0.17405839119191219</v>
      </c>
      <c r="N103" s="5">
        <f>N80/(N95*1000)</f>
        <v>0.19020599974535202</v>
      </c>
      <c r="O103" s="5">
        <f>O80/(O95*1000)</f>
        <v>0.22268123354478295</v>
      </c>
      <c r="P103" s="5">
        <f>P80/(P95*1000)</f>
        <v>0.23684167490015523</v>
      </c>
      <c r="Q103" s="5">
        <f>Q80/(Q95*1000)</f>
        <v>0.24072916959293345</v>
      </c>
      <c r="R103" s="5">
        <f>R80/(R95*1000)</f>
        <v>0.24817539516206166</v>
      </c>
      <c r="S103" s="5">
        <f>S80/(S95*1000)</f>
        <v>0.25053133695291097</v>
      </c>
      <c r="T103" s="5">
        <f>T80/(T95*1000)</f>
        <v>0.26155123636858679</v>
      </c>
      <c r="U103" s="5">
        <f>U80/(U95*1000)</f>
        <v>0.27167440366088741</v>
      </c>
      <c r="V103" s="5">
        <f>V80/(V95*1000)</f>
        <v>0.29119630432886023</v>
      </c>
      <c r="W103" s="5">
        <f>W80/(W95*1000)</f>
        <v>0.2912460610991599</v>
      </c>
      <c r="X103" s="5">
        <f>X80/(X95*1000)</f>
        <v>0.29579489830535854</v>
      </c>
      <c r="Y103" s="5">
        <f>Y80/(Y95*1000)</f>
        <v>0.30149768546297717</v>
      </c>
      <c r="Z103" s="5">
        <f>Z80/(Z95*1000)</f>
        <v>0.31790009765025867</v>
      </c>
      <c r="AA103" s="5">
        <f>AA80/(AA95*1000)</f>
        <v>0.31588638968722832</v>
      </c>
      <c r="AB103" s="5">
        <f>AB80/(AB95*1000)</f>
        <v>0.32018933579690589</v>
      </c>
      <c r="AC103" s="5">
        <f>AC80/(AC95*1000)</f>
        <v>0.32768762361469023</v>
      </c>
      <c r="AD103" s="5">
        <f>AD80/(AD95*1000)</f>
        <v>0.33534742184231775</v>
      </c>
      <c r="AE103" s="5">
        <f>AE80/(AE95*1000)</f>
        <v>0.3393020604407232</v>
      </c>
      <c r="AF103" s="5">
        <f>AF80/(AF95*1000)</f>
        <v>0.34365966172056317</v>
      </c>
      <c r="AG103" s="5">
        <f>AG80/(AG95*1000)</f>
        <v>0.33445643402856418</v>
      </c>
      <c r="AH103" s="5">
        <f>AH80/(AH95*1000)</f>
        <v>0.33342420754521779</v>
      </c>
      <c r="AI103" s="5">
        <f>AI80/(AI95*1000)</f>
        <v>0.33693634238072911</v>
      </c>
      <c r="AJ103" s="5">
        <f>AJ80/(AJ95*1000)</f>
        <v>0.34587752179966924</v>
      </c>
      <c r="AK103" s="5">
        <f>AK80/(AK95*1000)</f>
        <v>0.34356196315348314</v>
      </c>
      <c r="AL103" s="5">
        <f>AL80/(AL95*1000)</f>
        <v>0.34088257014008133</v>
      </c>
      <c r="AM103" s="5">
        <f>AM80/(AM95*1000)</f>
        <v>0.34378845694014637</v>
      </c>
      <c r="AN103" s="5">
        <f>AN80/(AN95*1000)</f>
        <v>0.34171788912343765</v>
      </c>
      <c r="AO103" s="5">
        <f>AO80/(AO95*1000)</f>
        <v>0.33715611738081808</v>
      </c>
      <c r="AP103" s="5">
        <f>AP80/(AP95*1000)</f>
        <v>0.33181225398233832</v>
      </c>
      <c r="AQ103" s="5">
        <f>AQ80/(AQ95*1000)</f>
        <v>0.33339708839701054</v>
      </c>
      <c r="AR103" s="5">
        <f>AR80/(AR95*1000)</f>
        <v>0.33922361696979042</v>
      </c>
      <c r="AS103" s="5">
        <f>AS80/(AS95*1000)</f>
        <v>0.33556824494105347</v>
      </c>
      <c r="AT103" s="5">
        <f>AT80/(AT95*1000)</f>
        <v>0.32583457504269253</v>
      </c>
      <c r="AU103" s="5">
        <f>AU80/(AU95*1000)</f>
        <v>0.31445742682357558</v>
      </c>
      <c r="AV103" s="5">
        <f>AV80/(AV95*1000)</f>
        <v>0.31510931176440932</v>
      </c>
      <c r="AW103" s="5">
        <f>AW80/(AW95*1000)</f>
        <v>0.31647816156714231</v>
      </c>
      <c r="AX103" s="5">
        <f>AX80/(AX95*1000)</f>
        <v>0.32001567086511451</v>
      </c>
      <c r="AY103" s="5">
        <f>AY80/(AY95*1000)</f>
        <v>0.30998910620146003</v>
      </c>
      <c r="AZ103" s="5">
        <f>AZ80/(AZ95*1000)</f>
        <v>0.30614249818961536</v>
      </c>
      <c r="BA103" s="5">
        <f>BA80/(BA95*1000)</f>
        <v>0.30246545925661605</v>
      </c>
      <c r="BB103" s="5">
        <f>BB80/(BB95*1000)</f>
        <v>0.299340200098756</v>
      </c>
      <c r="BC103" s="5">
        <f>BC80/(BC95*1000)</f>
        <v>0.29974996972683687</v>
      </c>
      <c r="BD103" s="5">
        <f>BD80/(BD95*1000)</f>
        <v>0.30665600901873852</v>
      </c>
      <c r="BE103" s="5">
        <f>BE80/(BE95*1000)</f>
        <v>0.30964946248559089</v>
      </c>
      <c r="BF103" s="5">
        <f>BF80/(BF95*1000)</f>
        <v>0.32049708500246188</v>
      </c>
      <c r="BG103" s="5">
        <f>BG80/(BG95*1000)</f>
        <v>0.31540389173188776</v>
      </c>
      <c r="BH103" s="5">
        <f>BH80/(BH95*1000)</f>
        <v>0.32492679721518064</v>
      </c>
      <c r="BI103" s="5">
        <f>BI80/(BI95*1000)</f>
        <v>0.36113286466055133</v>
      </c>
      <c r="BJ103" s="5">
        <f>BJ80/(BJ95*1000)</f>
        <v>0.33448827231885042</v>
      </c>
      <c r="BK103" s="5">
        <f>BK80/(BK95*1000)</f>
        <v>0.33040205644474835</v>
      </c>
      <c r="BL103" s="5">
        <f>BL80/(BL95*1000)</f>
        <v>0.32201909599474204</v>
      </c>
      <c r="BM103" s="5">
        <f>BM80/(BM95*1000)</f>
        <v>0.32174781646396888</v>
      </c>
      <c r="BN103" s="5">
        <f>BN80/(BN95*1000)</f>
        <v>0.31648268741510688</v>
      </c>
      <c r="BO103" s="5">
        <f>BO80/(BO95*1000)</f>
        <v>0.31240094154918757</v>
      </c>
      <c r="BP103" s="5">
        <f>BP80/(BP95*1000)</f>
        <v>0.30157651897399101</v>
      </c>
      <c r="BQ103" s="5">
        <f>BQ80/(BQ95*1000)</f>
        <v>0.28741389868653899</v>
      </c>
      <c r="BR103" s="5">
        <f>BR80/(BR95*1000)</f>
        <v>0.27601648004791107</v>
      </c>
      <c r="BS103" s="5">
        <f>BS80/(BS95*1000)</f>
        <v>0.27283569329366941</v>
      </c>
      <c r="BT103" s="5">
        <f>BT80/(BT95*1000)</f>
        <v>0.27842092647943578</v>
      </c>
      <c r="BU103" s="5">
        <f>BU80/(BU95*1000)</f>
        <v>0.27781749093887315</v>
      </c>
      <c r="BV103" s="5">
        <f>BV80/(BV95*1000)</f>
        <v>0.27212029649777741</v>
      </c>
      <c r="BW103" s="5">
        <f>BW80/(BW95*1000)</f>
        <v>0.28082546797329905</v>
      </c>
      <c r="BX103" s="5">
        <f>BX80/(BX95*1000)</f>
        <v>0.28349694098347794</v>
      </c>
      <c r="BY103" s="5">
        <f>BY80/(BY95*1000)</f>
        <v>0.28296215760337301</v>
      </c>
      <c r="BZ103" s="5">
        <f>BZ80/(BZ95*1000)</f>
        <v>0.29543865217784127</v>
      </c>
      <c r="CA103" s="5">
        <f>CA80/(CA95*1000)</f>
        <v>0.28639806049442296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Table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Meyrick Chapman</dc:creator>
  <cp:lastModifiedBy>Meyrick Chapman</cp:lastModifiedBy>
  <dcterms:created xsi:type="dcterms:W3CDTF">2025-05-13T10:21:01Z</dcterms:created>
  <dcterms:modified xsi:type="dcterms:W3CDTF">2025-05-13T14:55:03Z</dcterms:modified>
</cp:coreProperties>
</file>